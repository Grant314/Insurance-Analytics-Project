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tables/table4.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8077f1cd6a2923f6/Documents/"/>
    </mc:Choice>
  </mc:AlternateContent>
  <xr:revisionPtr revIDLastSave="439" documentId="8_{1541AA20-F3CF-4F87-B870-44B7C5F0AE94}" xr6:coauthVersionLast="47" xr6:coauthVersionMax="47" xr10:uidLastSave="{30273AD0-4575-421C-9855-13309D6C417C}"/>
  <bookViews>
    <workbookView xWindow="-120" yWindow="-120" windowWidth="38640" windowHeight="21120" activeTab="4" xr2:uid="{9B1DBEC0-6BFA-40BC-9C2C-A052BFD0F275}"/>
  </bookViews>
  <sheets>
    <sheet name="raw_data" sheetId="1" r:id="rId1"/>
    <sheet name="Calculations" sheetId="3" r:id="rId2"/>
    <sheet name="Segmentation table" sheetId="8" r:id="rId3"/>
    <sheet name="Pivot_Tables" sheetId="4" r:id="rId4"/>
    <sheet name="KPI" sheetId="6" r:id="rId5"/>
  </sheets>
  <definedNames>
    <definedName name="Slicer_region">#N/A</definedName>
    <definedName name="Slicer_sex">#N/A</definedName>
    <definedName name="Slicer_smoker">#N/A</definedName>
  </definedNames>
  <calcPr calcId="0"/>
  <pivotCaches>
    <pivotCache cacheId="33"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Lst>
</workbook>
</file>

<file path=xl/calcChain.xml><?xml version="1.0" encoding="utf-8"?>
<calcChain xmlns="http://schemas.openxmlformats.org/spreadsheetml/2006/main">
  <c r="B5" i="8" l="1"/>
  <c r="B4" i="8"/>
  <c r="B2" i="8"/>
  <c r="B3" i="8"/>
  <c r="B5" i="6"/>
  <c r="B4" i="6"/>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J1239" i="3"/>
  <c r="J1240" i="3"/>
  <c r="J1241" i="3"/>
  <c r="J1242" i="3"/>
  <c r="J1243" i="3"/>
  <c r="J1244" i="3"/>
  <c r="J1245" i="3"/>
  <c r="J1246" i="3"/>
  <c r="J1247" i="3"/>
  <c r="J1248" i="3"/>
  <c r="J1249" i="3"/>
  <c r="J1250" i="3"/>
  <c r="J1251" i="3"/>
  <c r="J1252" i="3"/>
  <c r="J1253" i="3"/>
  <c r="J1254" i="3"/>
  <c r="J1255" i="3"/>
  <c r="J1256" i="3"/>
  <c r="J1257" i="3"/>
  <c r="J1258" i="3"/>
  <c r="J1259" i="3"/>
  <c r="J1260" i="3"/>
  <c r="J1261" i="3"/>
  <c r="J1262" i="3"/>
  <c r="J1263" i="3"/>
  <c r="J1264" i="3"/>
  <c r="J1265" i="3"/>
  <c r="J1266" i="3"/>
  <c r="J1267" i="3"/>
  <c r="J1268" i="3"/>
  <c r="J1269" i="3"/>
  <c r="J1270" i="3"/>
  <c r="J1271" i="3"/>
  <c r="J1272" i="3"/>
  <c r="J1273" i="3"/>
  <c r="J1274" i="3"/>
  <c r="J1275" i="3"/>
  <c r="J1276" i="3"/>
  <c r="J1277" i="3"/>
  <c r="J1278" i="3"/>
  <c r="J1279" i="3"/>
  <c r="J1280" i="3"/>
  <c r="J1281" i="3"/>
  <c r="J1282" i="3"/>
  <c r="J1283" i="3"/>
  <c r="J1284" i="3"/>
  <c r="J1285" i="3"/>
  <c r="J1286" i="3"/>
  <c r="J1287" i="3"/>
  <c r="J1288" i="3"/>
  <c r="J1289" i="3"/>
  <c r="J1290" i="3"/>
  <c r="J1291" i="3"/>
  <c r="J1292" i="3"/>
  <c r="J1293" i="3"/>
  <c r="J1294" i="3"/>
  <c r="J1295" i="3"/>
  <c r="J1296" i="3"/>
  <c r="J1297" i="3"/>
  <c r="J1298" i="3"/>
  <c r="J1299" i="3"/>
  <c r="J1300" i="3"/>
  <c r="J1301" i="3"/>
  <c r="J1302" i="3"/>
  <c r="J1303" i="3"/>
  <c r="J1304" i="3"/>
  <c r="J1305" i="3"/>
  <c r="J1306" i="3"/>
  <c r="J1307" i="3"/>
  <c r="J1308" i="3"/>
  <c r="J1309" i="3"/>
  <c r="J1310" i="3"/>
  <c r="J1311" i="3"/>
  <c r="J1312" i="3"/>
  <c r="J1313" i="3"/>
  <c r="J1314" i="3"/>
  <c r="J1315" i="3"/>
  <c r="J1316" i="3"/>
  <c r="J1317" i="3"/>
  <c r="J1318" i="3"/>
  <c r="J1319" i="3"/>
  <c r="J1320" i="3"/>
  <c r="J1321" i="3"/>
  <c r="J1322" i="3"/>
  <c r="J1323" i="3"/>
  <c r="J1324" i="3"/>
  <c r="J1325" i="3"/>
  <c r="J1326" i="3"/>
  <c r="J1327" i="3"/>
  <c r="J1328" i="3"/>
  <c r="J1329" i="3"/>
  <c r="J1330" i="3"/>
  <c r="J1331" i="3"/>
  <c r="J1332" i="3"/>
  <c r="J1333" i="3"/>
  <c r="J1334" i="3"/>
  <c r="J1335" i="3"/>
  <c r="J1336" i="3"/>
  <c r="J1337" i="3"/>
  <c r="J1338" i="3"/>
  <c r="J13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I1239" i="3"/>
  <c r="I1240" i="3"/>
  <c r="I1241" i="3"/>
  <c r="I1242" i="3"/>
  <c r="I1243" i="3"/>
  <c r="I1244" i="3"/>
  <c r="I1245" i="3"/>
  <c r="I1246" i="3"/>
  <c r="I1247" i="3"/>
  <c r="I1248" i="3"/>
  <c r="I1249" i="3"/>
  <c r="I1250" i="3"/>
  <c r="I1251" i="3"/>
  <c r="I1252" i="3"/>
  <c r="I1253" i="3"/>
  <c r="I1254" i="3"/>
  <c r="I1255" i="3"/>
  <c r="I1256" i="3"/>
  <c r="I1257" i="3"/>
  <c r="I1258" i="3"/>
  <c r="I1259" i="3"/>
  <c r="I1260" i="3"/>
  <c r="I1261" i="3"/>
  <c r="I1262" i="3"/>
  <c r="I1263" i="3"/>
  <c r="I1264" i="3"/>
  <c r="I1265" i="3"/>
  <c r="I1266" i="3"/>
  <c r="I1267" i="3"/>
  <c r="I1268" i="3"/>
  <c r="I1269" i="3"/>
  <c r="I1270" i="3"/>
  <c r="I1271" i="3"/>
  <c r="I1272" i="3"/>
  <c r="I1273" i="3"/>
  <c r="I1274" i="3"/>
  <c r="I1275" i="3"/>
  <c r="I1276" i="3"/>
  <c r="I1277" i="3"/>
  <c r="I1278" i="3"/>
  <c r="I1279" i="3"/>
  <c r="I1280" i="3"/>
  <c r="I1281" i="3"/>
  <c r="I1282" i="3"/>
  <c r="I1283" i="3"/>
  <c r="I1284" i="3"/>
  <c r="I1285" i="3"/>
  <c r="I1286" i="3"/>
  <c r="I1287" i="3"/>
  <c r="I1288" i="3"/>
  <c r="I1289" i="3"/>
  <c r="I1290" i="3"/>
  <c r="I1291" i="3"/>
  <c r="I1292" i="3"/>
  <c r="I1293" i="3"/>
  <c r="I1294" i="3"/>
  <c r="I1295" i="3"/>
  <c r="I1296" i="3"/>
  <c r="I1297" i="3"/>
  <c r="I1298" i="3"/>
  <c r="I1299" i="3"/>
  <c r="I1300" i="3"/>
  <c r="I1301" i="3"/>
  <c r="I1302" i="3"/>
  <c r="I1303" i="3"/>
  <c r="I1304" i="3"/>
  <c r="I1305" i="3"/>
  <c r="I1306" i="3"/>
  <c r="I1307" i="3"/>
  <c r="I1308" i="3"/>
  <c r="I1309" i="3"/>
  <c r="I1310" i="3"/>
  <c r="I1311" i="3"/>
  <c r="I1312" i="3"/>
  <c r="I1313" i="3"/>
  <c r="I1314" i="3"/>
  <c r="I1315" i="3"/>
  <c r="I1316" i="3"/>
  <c r="I1317" i="3"/>
  <c r="I1318" i="3"/>
  <c r="I1319" i="3"/>
  <c r="I1320" i="3"/>
  <c r="I1321" i="3"/>
  <c r="I1322" i="3"/>
  <c r="I1323" i="3"/>
  <c r="I1324" i="3"/>
  <c r="I1325" i="3"/>
  <c r="I1326" i="3"/>
  <c r="I1327" i="3"/>
  <c r="I1328" i="3"/>
  <c r="I1329" i="3"/>
  <c r="I1330" i="3"/>
  <c r="I1331" i="3"/>
  <c r="I1332" i="3"/>
  <c r="I1333" i="3"/>
  <c r="I1334" i="3"/>
  <c r="I1335" i="3"/>
  <c r="I1336" i="3"/>
  <c r="I1337" i="3"/>
  <c r="I1338" i="3"/>
  <c r="I1339" i="3"/>
  <c r="H2" i="3"/>
  <c r="H3" i="3"/>
  <c r="H4" i="3"/>
  <c r="H5" i="3"/>
  <c r="H6" i="3"/>
  <c r="H7" i="3"/>
  <c r="H8" i="3"/>
  <c r="H9" i="3"/>
  <c r="H10" i="3"/>
  <c r="H11" i="3"/>
  <c r="H12" i="3"/>
  <c r="H13" i="3"/>
  <c r="H14" i="3"/>
  <c r="H15" i="3"/>
  <c r="H16" i="3"/>
  <c r="H17" i="3"/>
  <c r="H18" i="3"/>
  <c r="H19" i="3"/>
  <c r="H20" i="3"/>
  <c r="H21" i="3"/>
  <c r="H22" i="3"/>
  <c r="H23" i="3"/>
  <c r="H24" i="3"/>
  <c r="H25" i="3"/>
  <c r="H26" i="3"/>
  <c r="H27" i="3"/>
  <c r="H28" i="3"/>
  <c r="H29" i="3"/>
  <c r="H30" i="3"/>
  <c r="H31" i="3"/>
  <c r="H32" i="3"/>
  <c r="H33" i="3"/>
  <c r="H34" i="3"/>
  <c r="H35" i="3"/>
  <c r="H36" i="3"/>
  <c r="H37" i="3"/>
  <c r="H38" i="3"/>
  <c r="H39" i="3"/>
  <c r="H40" i="3"/>
  <c r="H41" i="3"/>
  <c r="H42" i="3"/>
  <c r="H43" i="3"/>
  <c r="H44" i="3"/>
  <c r="H45" i="3"/>
  <c r="H46" i="3"/>
  <c r="H47" i="3"/>
  <c r="H48" i="3"/>
  <c r="H49" i="3"/>
  <c r="H50" i="3"/>
  <c r="H51" i="3"/>
  <c r="H52" i="3"/>
  <c r="H53" i="3"/>
  <c r="H54" i="3"/>
  <c r="H55" i="3"/>
  <c r="H56" i="3"/>
  <c r="H57" i="3"/>
  <c r="H58" i="3"/>
  <c r="H59" i="3"/>
  <c r="H60" i="3"/>
  <c r="H61" i="3"/>
  <c r="H62" i="3"/>
  <c r="H63" i="3"/>
  <c r="H64" i="3"/>
  <c r="H65" i="3"/>
  <c r="H66" i="3"/>
  <c r="H67" i="3"/>
  <c r="H68" i="3"/>
  <c r="H69" i="3"/>
  <c r="H70" i="3"/>
  <c r="H71" i="3"/>
  <c r="H72" i="3"/>
  <c r="H73" i="3"/>
  <c r="H74" i="3"/>
  <c r="H75" i="3"/>
  <c r="H76" i="3"/>
  <c r="H77" i="3"/>
  <c r="H78" i="3"/>
  <c r="H79" i="3"/>
  <c r="H80" i="3"/>
  <c r="H81" i="3"/>
  <c r="H82" i="3"/>
  <c r="H83" i="3"/>
  <c r="H84" i="3"/>
  <c r="H85" i="3"/>
  <c r="H86" i="3"/>
  <c r="H87" i="3"/>
  <c r="H88" i="3"/>
  <c r="H89" i="3"/>
  <c r="H90" i="3"/>
  <c r="H91" i="3"/>
  <c r="H92" i="3"/>
  <c r="H93" i="3"/>
  <c r="H94" i="3"/>
  <c r="H95" i="3"/>
  <c r="H96" i="3"/>
  <c r="H97" i="3"/>
  <c r="H98" i="3"/>
  <c r="H99" i="3"/>
  <c r="H100" i="3"/>
  <c r="H101" i="3"/>
  <c r="H102" i="3"/>
  <c r="H103" i="3"/>
  <c r="H104" i="3"/>
  <c r="H105" i="3"/>
  <c r="H106" i="3"/>
  <c r="H107" i="3"/>
  <c r="H108" i="3"/>
  <c r="H109" i="3"/>
  <c r="H110" i="3"/>
  <c r="H111" i="3"/>
  <c r="H112" i="3"/>
  <c r="H113" i="3"/>
  <c r="H114" i="3"/>
  <c r="H115" i="3"/>
  <c r="H116" i="3"/>
  <c r="H117" i="3"/>
  <c r="H118" i="3"/>
  <c r="H119" i="3"/>
  <c r="H120" i="3"/>
  <c r="H121" i="3"/>
  <c r="H122" i="3"/>
  <c r="H123" i="3"/>
  <c r="H124" i="3"/>
  <c r="H125" i="3"/>
  <c r="H126" i="3"/>
  <c r="H127" i="3"/>
  <c r="H128" i="3"/>
  <c r="H129" i="3"/>
  <c r="H130" i="3"/>
  <c r="H131" i="3"/>
  <c r="H132" i="3"/>
  <c r="H133" i="3"/>
  <c r="H134" i="3"/>
  <c r="H135" i="3"/>
  <c r="H136" i="3"/>
  <c r="H137" i="3"/>
  <c r="H138" i="3"/>
  <c r="H139" i="3"/>
  <c r="H140" i="3"/>
  <c r="H141" i="3"/>
  <c r="H142" i="3"/>
  <c r="H143" i="3"/>
  <c r="H144" i="3"/>
  <c r="H145" i="3"/>
  <c r="H146" i="3"/>
  <c r="H147" i="3"/>
  <c r="H148" i="3"/>
  <c r="H149" i="3"/>
  <c r="H150" i="3"/>
  <c r="H151" i="3"/>
  <c r="H152" i="3"/>
  <c r="H153" i="3"/>
  <c r="H154" i="3"/>
  <c r="H155" i="3"/>
  <c r="H156" i="3"/>
  <c r="H157" i="3"/>
  <c r="H158" i="3"/>
  <c r="H159" i="3"/>
  <c r="H160" i="3"/>
  <c r="H161" i="3"/>
  <c r="H162" i="3"/>
  <c r="H163" i="3"/>
  <c r="H164" i="3"/>
  <c r="H165" i="3"/>
  <c r="H166" i="3"/>
  <c r="H167" i="3"/>
  <c r="H168" i="3"/>
  <c r="H169" i="3"/>
  <c r="H170" i="3"/>
  <c r="H171" i="3"/>
  <c r="H172" i="3"/>
  <c r="H173" i="3"/>
  <c r="H174" i="3"/>
  <c r="H175" i="3"/>
  <c r="H176" i="3"/>
  <c r="H177" i="3"/>
  <c r="H178" i="3"/>
  <c r="H179" i="3"/>
  <c r="H180" i="3"/>
  <c r="H181" i="3"/>
  <c r="H182" i="3"/>
  <c r="H183" i="3"/>
  <c r="H184" i="3"/>
  <c r="H185" i="3"/>
  <c r="H186" i="3"/>
  <c r="H187" i="3"/>
  <c r="H188" i="3"/>
  <c r="H189" i="3"/>
  <c r="H190" i="3"/>
  <c r="H191" i="3"/>
  <c r="H192" i="3"/>
  <c r="H193" i="3"/>
  <c r="H194" i="3"/>
  <c r="H195" i="3"/>
  <c r="H196" i="3"/>
  <c r="H197" i="3"/>
  <c r="H198" i="3"/>
  <c r="H199" i="3"/>
  <c r="H200" i="3"/>
  <c r="H201" i="3"/>
  <c r="H202" i="3"/>
  <c r="H203" i="3"/>
  <c r="H204" i="3"/>
  <c r="H205" i="3"/>
  <c r="H206" i="3"/>
  <c r="H207" i="3"/>
  <c r="H208" i="3"/>
  <c r="H209" i="3"/>
  <c r="H210" i="3"/>
  <c r="H211" i="3"/>
  <c r="H212" i="3"/>
  <c r="H213" i="3"/>
  <c r="H214" i="3"/>
  <c r="H215" i="3"/>
  <c r="H216" i="3"/>
  <c r="H217" i="3"/>
  <c r="H218" i="3"/>
  <c r="H219" i="3"/>
  <c r="H220" i="3"/>
  <c r="H221" i="3"/>
  <c r="H222" i="3"/>
  <c r="H223" i="3"/>
  <c r="H224" i="3"/>
  <c r="H225" i="3"/>
  <c r="H226" i="3"/>
  <c r="H227" i="3"/>
  <c r="H228" i="3"/>
  <c r="H229" i="3"/>
  <c r="H230" i="3"/>
  <c r="H231" i="3"/>
  <c r="H232" i="3"/>
  <c r="H233" i="3"/>
  <c r="H234" i="3"/>
  <c r="H235" i="3"/>
  <c r="H236" i="3"/>
  <c r="H237" i="3"/>
  <c r="H238" i="3"/>
  <c r="H239" i="3"/>
  <c r="H240" i="3"/>
  <c r="H241" i="3"/>
  <c r="H242" i="3"/>
  <c r="H243" i="3"/>
  <c r="H244" i="3"/>
  <c r="H245" i="3"/>
  <c r="H246" i="3"/>
  <c r="H247" i="3"/>
  <c r="H248" i="3"/>
  <c r="H249" i="3"/>
  <c r="H250" i="3"/>
  <c r="H251" i="3"/>
  <c r="H252" i="3"/>
  <c r="H253" i="3"/>
  <c r="H254" i="3"/>
  <c r="H255" i="3"/>
  <c r="H256" i="3"/>
  <c r="H257" i="3"/>
  <c r="H258" i="3"/>
  <c r="H259" i="3"/>
  <c r="H260" i="3"/>
  <c r="H261" i="3"/>
  <c r="H262" i="3"/>
  <c r="H263" i="3"/>
  <c r="H264" i="3"/>
  <c r="H265" i="3"/>
  <c r="H266" i="3"/>
  <c r="H267" i="3"/>
  <c r="H268" i="3"/>
  <c r="H269" i="3"/>
  <c r="H270" i="3"/>
  <c r="H271" i="3"/>
  <c r="H272" i="3"/>
  <c r="H273" i="3"/>
  <c r="H274" i="3"/>
  <c r="H275" i="3"/>
  <c r="H276" i="3"/>
  <c r="H277" i="3"/>
  <c r="H278" i="3"/>
  <c r="H279" i="3"/>
  <c r="H280" i="3"/>
  <c r="H281" i="3"/>
  <c r="H282" i="3"/>
  <c r="H283" i="3"/>
  <c r="H284" i="3"/>
  <c r="H285" i="3"/>
  <c r="H286" i="3"/>
  <c r="H287" i="3"/>
  <c r="H288" i="3"/>
  <c r="H289" i="3"/>
  <c r="H290" i="3"/>
  <c r="H291" i="3"/>
  <c r="H292" i="3"/>
  <c r="H293" i="3"/>
  <c r="H294" i="3"/>
  <c r="H295" i="3"/>
  <c r="H296" i="3"/>
  <c r="H297" i="3"/>
  <c r="H298" i="3"/>
  <c r="H299" i="3"/>
  <c r="H300" i="3"/>
  <c r="H301" i="3"/>
  <c r="H302" i="3"/>
  <c r="H303" i="3"/>
  <c r="H304" i="3"/>
  <c r="H305" i="3"/>
  <c r="H306" i="3"/>
  <c r="H307" i="3"/>
  <c r="H308" i="3"/>
  <c r="H309" i="3"/>
  <c r="H310" i="3"/>
  <c r="H311" i="3"/>
  <c r="H312" i="3"/>
  <c r="H313" i="3"/>
  <c r="H314" i="3"/>
  <c r="H315" i="3"/>
  <c r="H316" i="3"/>
  <c r="H317" i="3"/>
  <c r="H318" i="3"/>
  <c r="H319" i="3"/>
  <c r="H320" i="3"/>
  <c r="H321" i="3"/>
  <c r="H322" i="3"/>
  <c r="H323" i="3"/>
  <c r="H324" i="3"/>
  <c r="H325" i="3"/>
  <c r="H326" i="3"/>
  <c r="H327" i="3"/>
  <c r="H328" i="3"/>
  <c r="H329" i="3"/>
  <c r="H330" i="3"/>
  <c r="H331" i="3"/>
  <c r="H332" i="3"/>
  <c r="H333" i="3"/>
  <c r="H334" i="3"/>
  <c r="H335" i="3"/>
  <c r="H336" i="3"/>
  <c r="H337" i="3"/>
  <c r="H338" i="3"/>
  <c r="H339" i="3"/>
  <c r="H340" i="3"/>
  <c r="H341" i="3"/>
  <c r="H342" i="3"/>
  <c r="H343" i="3"/>
  <c r="H344" i="3"/>
  <c r="H345" i="3"/>
  <c r="H346" i="3"/>
  <c r="H347" i="3"/>
  <c r="H348" i="3"/>
  <c r="H349" i="3"/>
  <c r="H350" i="3"/>
  <c r="H351" i="3"/>
  <c r="H352" i="3"/>
  <c r="H353" i="3"/>
  <c r="H354" i="3"/>
  <c r="H355" i="3"/>
  <c r="H356" i="3"/>
  <c r="H357" i="3"/>
  <c r="H358" i="3"/>
  <c r="H359" i="3"/>
  <c r="H360" i="3"/>
  <c r="H361" i="3"/>
  <c r="H362" i="3"/>
  <c r="H363" i="3"/>
  <c r="H364" i="3"/>
  <c r="H365" i="3"/>
  <c r="H366" i="3"/>
  <c r="H367" i="3"/>
  <c r="H368" i="3"/>
  <c r="H369" i="3"/>
  <c r="H370" i="3"/>
  <c r="H371" i="3"/>
  <c r="H372" i="3"/>
  <c r="H373" i="3"/>
  <c r="H374" i="3"/>
  <c r="H375" i="3"/>
  <c r="H376" i="3"/>
  <c r="H377" i="3"/>
  <c r="H378" i="3"/>
  <c r="H379" i="3"/>
  <c r="H380" i="3"/>
  <c r="H381" i="3"/>
  <c r="H382" i="3"/>
  <c r="H383" i="3"/>
  <c r="H384" i="3"/>
  <c r="H385" i="3"/>
  <c r="H386" i="3"/>
  <c r="H387" i="3"/>
  <c r="H388" i="3"/>
  <c r="H389" i="3"/>
  <c r="H390" i="3"/>
  <c r="H391" i="3"/>
  <c r="H392" i="3"/>
  <c r="H393" i="3"/>
  <c r="H394" i="3"/>
  <c r="H395" i="3"/>
  <c r="H396" i="3"/>
  <c r="H397" i="3"/>
  <c r="H398" i="3"/>
  <c r="H399" i="3"/>
  <c r="H400" i="3"/>
  <c r="H401" i="3"/>
  <c r="H402" i="3"/>
  <c r="H403" i="3"/>
  <c r="H404" i="3"/>
  <c r="H405" i="3"/>
  <c r="H406" i="3"/>
  <c r="H407" i="3"/>
  <c r="H408" i="3"/>
  <c r="H409" i="3"/>
  <c r="H410" i="3"/>
  <c r="H411" i="3"/>
  <c r="H412" i="3"/>
  <c r="H413" i="3"/>
  <c r="H414" i="3"/>
  <c r="H415" i="3"/>
  <c r="H416" i="3"/>
  <c r="H417" i="3"/>
  <c r="H418" i="3"/>
  <c r="H419" i="3"/>
  <c r="H420" i="3"/>
  <c r="H421" i="3"/>
  <c r="H422" i="3"/>
  <c r="H423" i="3"/>
  <c r="H424" i="3"/>
  <c r="H425" i="3"/>
  <c r="H426" i="3"/>
  <c r="H427" i="3"/>
  <c r="H428" i="3"/>
  <c r="H429" i="3"/>
  <c r="H430" i="3"/>
  <c r="H431" i="3"/>
  <c r="H432" i="3"/>
  <c r="H433" i="3"/>
  <c r="H434" i="3"/>
  <c r="H435" i="3"/>
  <c r="H436" i="3"/>
  <c r="H437" i="3"/>
  <c r="H438" i="3"/>
  <c r="H439" i="3"/>
  <c r="H440" i="3"/>
  <c r="H441" i="3"/>
  <c r="H442" i="3"/>
  <c r="H443" i="3"/>
  <c r="H444" i="3"/>
  <c r="H445" i="3"/>
  <c r="H446" i="3"/>
  <c r="H447" i="3"/>
  <c r="H448" i="3"/>
  <c r="H449" i="3"/>
  <c r="H450" i="3"/>
  <c r="H451" i="3"/>
  <c r="H452" i="3"/>
  <c r="H453" i="3"/>
  <c r="H454" i="3"/>
  <c r="H455" i="3"/>
  <c r="H456" i="3"/>
  <c r="H457" i="3"/>
  <c r="H458" i="3"/>
  <c r="H459" i="3"/>
  <c r="H460" i="3"/>
  <c r="H461" i="3"/>
  <c r="H462" i="3"/>
  <c r="H463" i="3"/>
  <c r="H464" i="3"/>
  <c r="H465" i="3"/>
  <c r="H466" i="3"/>
  <c r="H467" i="3"/>
  <c r="H468" i="3"/>
  <c r="H469" i="3"/>
  <c r="H470" i="3"/>
  <c r="H471" i="3"/>
  <c r="H472" i="3"/>
  <c r="H473" i="3"/>
  <c r="H474" i="3"/>
  <c r="H475" i="3"/>
  <c r="H476" i="3"/>
  <c r="H477" i="3"/>
  <c r="H478" i="3"/>
  <c r="H479" i="3"/>
  <c r="H480" i="3"/>
  <c r="H481" i="3"/>
  <c r="H482" i="3"/>
  <c r="H483" i="3"/>
  <c r="H484" i="3"/>
  <c r="H485" i="3"/>
  <c r="H486" i="3"/>
  <c r="H487" i="3"/>
  <c r="H488" i="3"/>
  <c r="H489" i="3"/>
  <c r="H490" i="3"/>
  <c r="H491" i="3"/>
  <c r="H492" i="3"/>
  <c r="H493" i="3"/>
  <c r="H494" i="3"/>
  <c r="H495" i="3"/>
  <c r="H496" i="3"/>
  <c r="H497" i="3"/>
  <c r="H498" i="3"/>
  <c r="H499" i="3"/>
  <c r="H500" i="3"/>
  <c r="H501" i="3"/>
  <c r="H502" i="3"/>
  <c r="H503" i="3"/>
  <c r="H504" i="3"/>
  <c r="H505" i="3"/>
  <c r="H506" i="3"/>
  <c r="H507" i="3"/>
  <c r="H508" i="3"/>
  <c r="H509" i="3"/>
  <c r="H510" i="3"/>
  <c r="H511" i="3"/>
  <c r="H512" i="3"/>
  <c r="H513" i="3"/>
  <c r="H514" i="3"/>
  <c r="H515" i="3"/>
  <c r="H516" i="3"/>
  <c r="H517" i="3"/>
  <c r="H518" i="3"/>
  <c r="H519" i="3"/>
  <c r="H520" i="3"/>
  <c r="H521" i="3"/>
  <c r="H522" i="3"/>
  <c r="H523" i="3"/>
  <c r="H524" i="3"/>
  <c r="H525" i="3"/>
  <c r="H526" i="3"/>
  <c r="H527" i="3"/>
  <c r="H528" i="3"/>
  <c r="H529" i="3"/>
  <c r="H530" i="3"/>
  <c r="H531" i="3"/>
  <c r="H532" i="3"/>
  <c r="H533" i="3"/>
  <c r="H534" i="3"/>
  <c r="H535" i="3"/>
  <c r="H536" i="3"/>
  <c r="H537" i="3"/>
  <c r="H538" i="3"/>
  <c r="H539" i="3"/>
  <c r="H540" i="3"/>
  <c r="H541" i="3"/>
  <c r="H542" i="3"/>
  <c r="H543" i="3"/>
  <c r="H544" i="3"/>
  <c r="H545" i="3"/>
  <c r="H546" i="3"/>
  <c r="H547" i="3"/>
  <c r="H548" i="3"/>
  <c r="H549" i="3"/>
  <c r="H550" i="3"/>
  <c r="H551" i="3"/>
  <c r="H552" i="3"/>
  <c r="H553" i="3"/>
  <c r="H554" i="3"/>
  <c r="H555" i="3"/>
  <c r="H556" i="3"/>
  <c r="H557" i="3"/>
  <c r="H558" i="3"/>
  <c r="H559" i="3"/>
  <c r="H560" i="3"/>
  <c r="H561" i="3"/>
  <c r="H562" i="3"/>
  <c r="H563" i="3"/>
  <c r="H564" i="3"/>
  <c r="H565" i="3"/>
  <c r="H566" i="3"/>
  <c r="H567" i="3"/>
  <c r="H568" i="3"/>
  <c r="H569" i="3"/>
  <c r="H570" i="3"/>
  <c r="H571" i="3"/>
  <c r="H572" i="3"/>
  <c r="H573" i="3"/>
  <c r="H574" i="3"/>
  <c r="H575" i="3"/>
  <c r="H576" i="3"/>
  <c r="H577" i="3"/>
  <c r="H578" i="3"/>
  <c r="H579" i="3"/>
  <c r="H580" i="3"/>
  <c r="H581" i="3"/>
  <c r="H582" i="3"/>
  <c r="H583" i="3"/>
  <c r="H584" i="3"/>
  <c r="H585" i="3"/>
  <c r="H586" i="3"/>
  <c r="H587" i="3"/>
  <c r="H588" i="3"/>
  <c r="H589" i="3"/>
  <c r="H590" i="3"/>
  <c r="H591" i="3"/>
  <c r="H592" i="3"/>
  <c r="H593" i="3"/>
  <c r="H594" i="3"/>
  <c r="H595" i="3"/>
  <c r="H596" i="3"/>
  <c r="H597" i="3"/>
  <c r="H598" i="3"/>
  <c r="H599" i="3"/>
  <c r="H600" i="3"/>
  <c r="H601" i="3"/>
  <c r="H602" i="3"/>
  <c r="H603" i="3"/>
  <c r="H604" i="3"/>
  <c r="H605" i="3"/>
  <c r="H606" i="3"/>
  <c r="H607" i="3"/>
  <c r="H608" i="3"/>
  <c r="H609" i="3"/>
  <c r="H610" i="3"/>
  <c r="H611" i="3"/>
  <c r="H612" i="3"/>
  <c r="H613" i="3"/>
  <c r="H614" i="3"/>
  <c r="H615" i="3"/>
  <c r="H616" i="3"/>
  <c r="H617" i="3"/>
  <c r="H618" i="3"/>
  <c r="H619" i="3"/>
  <c r="H620" i="3"/>
  <c r="H621" i="3"/>
  <c r="H622" i="3"/>
  <c r="H623" i="3"/>
  <c r="H624" i="3"/>
  <c r="H625" i="3"/>
  <c r="H626" i="3"/>
  <c r="H627" i="3"/>
  <c r="H628" i="3"/>
  <c r="H629" i="3"/>
  <c r="H630" i="3"/>
  <c r="H631" i="3"/>
  <c r="H632" i="3"/>
  <c r="H633" i="3"/>
  <c r="H634" i="3"/>
  <c r="H635" i="3"/>
  <c r="H636" i="3"/>
  <c r="H637" i="3"/>
  <c r="H638" i="3"/>
  <c r="H639" i="3"/>
  <c r="H640" i="3"/>
  <c r="H641" i="3"/>
  <c r="H642" i="3"/>
  <c r="H643" i="3"/>
  <c r="H644" i="3"/>
  <c r="H645" i="3"/>
  <c r="H646" i="3"/>
  <c r="H647" i="3"/>
  <c r="H648" i="3"/>
  <c r="H649" i="3"/>
  <c r="H650" i="3"/>
  <c r="H651" i="3"/>
  <c r="H652" i="3"/>
  <c r="H653" i="3"/>
  <c r="H654" i="3"/>
  <c r="H655" i="3"/>
  <c r="H656" i="3"/>
  <c r="H657" i="3"/>
  <c r="H658" i="3"/>
  <c r="H659" i="3"/>
  <c r="H660" i="3"/>
  <c r="H661" i="3"/>
  <c r="H662" i="3"/>
  <c r="H663" i="3"/>
  <c r="H664" i="3"/>
  <c r="H665" i="3"/>
  <c r="H666" i="3"/>
  <c r="H667" i="3"/>
  <c r="H668" i="3"/>
  <c r="H669" i="3"/>
  <c r="H670" i="3"/>
  <c r="H671" i="3"/>
  <c r="H672" i="3"/>
  <c r="H673" i="3"/>
  <c r="H674" i="3"/>
  <c r="H675" i="3"/>
  <c r="H676" i="3"/>
  <c r="H677" i="3"/>
  <c r="H678" i="3"/>
  <c r="H679" i="3"/>
  <c r="H680" i="3"/>
  <c r="H681" i="3"/>
  <c r="H682" i="3"/>
  <c r="H683" i="3"/>
  <c r="H684" i="3"/>
  <c r="H685" i="3"/>
  <c r="H686" i="3"/>
  <c r="H687" i="3"/>
  <c r="H688" i="3"/>
  <c r="H689" i="3"/>
  <c r="H690" i="3"/>
  <c r="H691" i="3"/>
  <c r="H692" i="3"/>
  <c r="H693" i="3"/>
  <c r="H694" i="3"/>
  <c r="H695" i="3"/>
  <c r="H696" i="3"/>
  <c r="H697" i="3"/>
  <c r="H698" i="3"/>
  <c r="H699" i="3"/>
  <c r="H700" i="3"/>
  <c r="H701" i="3"/>
  <c r="H702" i="3"/>
  <c r="H703" i="3"/>
  <c r="H704" i="3"/>
  <c r="H705" i="3"/>
  <c r="H706" i="3"/>
  <c r="H707" i="3"/>
  <c r="H708" i="3"/>
  <c r="H709" i="3"/>
  <c r="H710" i="3"/>
  <c r="H711" i="3"/>
  <c r="H712" i="3"/>
  <c r="H713" i="3"/>
  <c r="H714" i="3"/>
  <c r="H715" i="3"/>
  <c r="H716" i="3"/>
  <c r="H717" i="3"/>
  <c r="H718" i="3"/>
  <c r="H719" i="3"/>
  <c r="H720" i="3"/>
  <c r="H721" i="3"/>
  <c r="H722" i="3"/>
  <c r="H723" i="3"/>
  <c r="H724" i="3"/>
  <c r="H725" i="3"/>
  <c r="H726" i="3"/>
  <c r="H727" i="3"/>
  <c r="H728" i="3"/>
  <c r="H729" i="3"/>
  <c r="H730" i="3"/>
  <c r="H731" i="3"/>
  <c r="H732" i="3"/>
  <c r="H733" i="3"/>
  <c r="H734" i="3"/>
  <c r="H735" i="3"/>
  <c r="H736" i="3"/>
  <c r="H737" i="3"/>
  <c r="H738" i="3"/>
  <c r="H739" i="3"/>
  <c r="H740" i="3"/>
  <c r="H741" i="3"/>
  <c r="H742" i="3"/>
  <c r="H743" i="3"/>
  <c r="H744" i="3"/>
  <c r="H745" i="3"/>
  <c r="H746" i="3"/>
  <c r="H747" i="3"/>
  <c r="H748" i="3"/>
  <c r="H749" i="3"/>
  <c r="H750" i="3"/>
  <c r="H751" i="3"/>
  <c r="H752" i="3"/>
  <c r="H753" i="3"/>
  <c r="H754" i="3"/>
  <c r="H755" i="3"/>
  <c r="H756" i="3"/>
  <c r="H757" i="3"/>
  <c r="H758" i="3"/>
  <c r="H759" i="3"/>
  <c r="H760" i="3"/>
  <c r="H761" i="3"/>
  <c r="H762" i="3"/>
  <c r="H763" i="3"/>
  <c r="H764" i="3"/>
  <c r="H765" i="3"/>
  <c r="H766" i="3"/>
  <c r="H767" i="3"/>
  <c r="H768" i="3"/>
  <c r="H769" i="3"/>
  <c r="H770" i="3"/>
  <c r="H771" i="3"/>
  <c r="H772" i="3"/>
  <c r="H773" i="3"/>
  <c r="H774" i="3"/>
  <c r="H775" i="3"/>
  <c r="H776" i="3"/>
  <c r="H777" i="3"/>
  <c r="H778" i="3"/>
  <c r="H779" i="3"/>
  <c r="H780" i="3"/>
  <c r="H781" i="3"/>
  <c r="H782" i="3"/>
  <c r="H783" i="3"/>
  <c r="H784" i="3"/>
  <c r="H785" i="3"/>
  <c r="H786" i="3"/>
  <c r="H787" i="3"/>
  <c r="H788" i="3"/>
  <c r="H789" i="3"/>
  <c r="H790" i="3"/>
  <c r="H791" i="3"/>
  <c r="H792" i="3"/>
  <c r="H793" i="3"/>
  <c r="H794" i="3"/>
  <c r="H795" i="3"/>
  <c r="H796" i="3"/>
  <c r="H797" i="3"/>
  <c r="H798" i="3"/>
  <c r="H799" i="3"/>
  <c r="H800" i="3"/>
  <c r="H801" i="3"/>
  <c r="H802" i="3"/>
  <c r="H803" i="3"/>
  <c r="H804" i="3"/>
  <c r="H805" i="3"/>
  <c r="H806" i="3"/>
  <c r="H807" i="3"/>
  <c r="H808" i="3"/>
  <c r="H809" i="3"/>
  <c r="H810" i="3"/>
  <c r="H811" i="3"/>
  <c r="H812" i="3"/>
  <c r="H813" i="3"/>
  <c r="H814" i="3"/>
  <c r="H815" i="3"/>
  <c r="H816" i="3"/>
  <c r="H817" i="3"/>
  <c r="H818" i="3"/>
  <c r="H819" i="3"/>
  <c r="H820" i="3"/>
  <c r="H821" i="3"/>
  <c r="H822" i="3"/>
  <c r="H823" i="3"/>
  <c r="H824" i="3"/>
  <c r="H825" i="3"/>
  <c r="H826" i="3"/>
  <c r="H827" i="3"/>
  <c r="H828" i="3"/>
  <c r="H829" i="3"/>
  <c r="H830" i="3"/>
  <c r="H831" i="3"/>
  <c r="H832" i="3"/>
  <c r="H833" i="3"/>
  <c r="H834" i="3"/>
  <c r="H835" i="3"/>
  <c r="H836" i="3"/>
  <c r="H837" i="3"/>
  <c r="H838" i="3"/>
  <c r="H839" i="3"/>
  <c r="H840" i="3"/>
  <c r="H841" i="3"/>
  <c r="H842" i="3"/>
  <c r="H843" i="3"/>
  <c r="H844" i="3"/>
  <c r="H845" i="3"/>
  <c r="H846" i="3"/>
  <c r="H847" i="3"/>
  <c r="H848" i="3"/>
  <c r="H849" i="3"/>
  <c r="H850" i="3"/>
  <c r="H851" i="3"/>
  <c r="H852" i="3"/>
  <c r="H853" i="3"/>
  <c r="H854" i="3"/>
  <c r="H855" i="3"/>
  <c r="H856" i="3"/>
  <c r="H857" i="3"/>
  <c r="H858" i="3"/>
  <c r="H859" i="3"/>
  <c r="H860" i="3"/>
  <c r="H861" i="3"/>
  <c r="H862" i="3"/>
  <c r="H863" i="3"/>
  <c r="H864" i="3"/>
  <c r="H865" i="3"/>
  <c r="H866" i="3"/>
  <c r="H867" i="3"/>
  <c r="H868" i="3"/>
  <c r="H869" i="3"/>
  <c r="H870" i="3"/>
  <c r="H871" i="3"/>
  <c r="H872" i="3"/>
  <c r="H873" i="3"/>
  <c r="H874" i="3"/>
  <c r="H875" i="3"/>
  <c r="H876" i="3"/>
  <c r="H877" i="3"/>
  <c r="H878" i="3"/>
  <c r="H879" i="3"/>
  <c r="H880" i="3"/>
  <c r="H881" i="3"/>
  <c r="H882" i="3"/>
  <c r="H883" i="3"/>
  <c r="H884" i="3"/>
  <c r="H885" i="3"/>
  <c r="H886" i="3"/>
  <c r="H887" i="3"/>
  <c r="H888" i="3"/>
  <c r="H889" i="3"/>
  <c r="H890" i="3"/>
  <c r="H891" i="3"/>
  <c r="H892" i="3"/>
  <c r="H893" i="3"/>
  <c r="H894" i="3"/>
  <c r="H895" i="3"/>
  <c r="H896" i="3"/>
  <c r="H897" i="3"/>
  <c r="H898" i="3"/>
  <c r="H899" i="3"/>
  <c r="H900" i="3"/>
  <c r="H901" i="3"/>
  <c r="H902" i="3"/>
  <c r="H903" i="3"/>
  <c r="H904" i="3"/>
  <c r="H905" i="3"/>
  <c r="H906" i="3"/>
  <c r="H907" i="3"/>
  <c r="H908" i="3"/>
  <c r="H909" i="3"/>
  <c r="H910" i="3"/>
  <c r="H911" i="3"/>
  <c r="H912" i="3"/>
  <c r="H913" i="3"/>
  <c r="H914" i="3"/>
  <c r="H915" i="3"/>
  <c r="H916" i="3"/>
  <c r="H917" i="3"/>
  <c r="H918" i="3"/>
  <c r="H919" i="3"/>
  <c r="H920" i="3"/>
  <c r="H921" i="3"/>
  <c r="H922" i="3"/>
  <c r="H923" i="3"/>
  <c r="H924" i="3"/>
  <c r="H925" i="3"/>
  <c r="H926" i="3"/>
  <c r="H927" i="3"/>
  <c r="H928" i="3"/>
  <c r="H929" i="3"/>
  <c r="H930" i="3"/>
  <c r="H931" i="3"/>
  <c r="H932" i="3"/>
  <c r="H933" i="3"/>
  <c r="H934" i="3"/>
  <c r="H935" i="3"/>
  <c r="H936" i="3"/>
  <c r="H937" i="3"/>
  <c r="H938" i="3"/>
  <c r="H939" i="3"/>
  <c r="H940" i="3"/>
  <c r="H941" i="3"/>
  <c r="H942" i="3"/>
  <c r="H943" i="3"/>
  <c r="H944" i="3"/>
  <c r="H945" i="3"/>
  <c r="H946" i="3"/>
  <c r="H947" i="3"/>
  <c r="H948" i="3"/>
  <c r="H949" i="3"/>
  <c r="H950" i="3"/>
  <c r="H951" i="3"/>
  <c r="H952" i="3"/>
  <c r="H953" i="3"/>
  <c r="H954" i="3"/>
  <c r="H955" i="3"/>
  <c r="H956" i="3"/>
  <c r="H957" i="3"/>
  <c r="H958" i="3"/>
  <c r="H959" i="3"/>
  <c r="H960" i="3"/>
  <c r="H961" i="3"/>
  <c r="H962" i="3"/>
  <c r="H963" i="3"/>
  <c r="H964" i="3"/>
  <c r="H965" i="3"/>
  <c r="H966" i="3"/>
  <c r="H967" i="3"/>
  <c r="H968" i="3"/>
  <c r="H969" i="3"/>
  <c r="H970" i="3"/>
  <c r="H971" i="3"/>
  <c r="H972" i="3"/>
  <c r="H973" i="3"/>
  <c r="H974" i="3"/>
  <c r="H975" i="3"/>
  <c r="H976" i="3"/>
  <c r="H977" i="3"/>
  <c r="H978" i="3"/>
  <c r="H979" i="3"/>
  <c r="H980" i="3"/>
  <c r="H981" i="3"/>
  <c r="H982" i="3"/>
  <c r="H983" i="3"/>
  <c r="H984" i="3"/>
  <c r="H985" i="3"/>
  <c r="H986" i="3"/>
  <c r="H987" i="3"/>
  <c r="H988" i="3"/>
  <c r="H989" i="3"/>
  <c r="H990" i="3"/>
  <c r="H991" i="3"/>
  <c r="H992" i="3"/>
  <c r="H993" i="3"/>
  <c r="H994" i="3"/>
  <c r="H995" i="3"/>
  <c r="H996" i="3"/>
  <c r="H997" i="3"/>
  <c r="H998" i="3"/>
  <c r="H999" i="3"/>
  <c r="H1000" i="3"/>
  <c r="H1001" i="3"/>
  <c r="H1002" i="3"/>
  <c r="H1003" i="3"/>
  <c r="H1004" i="3"/>
  <c r="H1005" i="3"/>
  <c r="H1006" i="3"/>
  <c r="H1007" i="3"/>
  <c r="H1008" i="3"/>
  <c r="H1009" i="3"/>
  <c r="H1010" i="3"/>
  <c r="H1011" i="3"/>
  <c r="H1012" i="3"/>
  <c r="H1013" i="3"/>
  <c r="H1014" i="3"/>
  <c r="H1015" i="3"/>
  <c r="H1016" i="3"/>
  <c r="H1017" i="3"/>
  <c r="H1018" i="3"/>
  <c r="H1019" i="3"/>
  <c r="H1020" i="3"/>
  <c r="H1021" i="3"/>
  <c r="H1022" i="3"/>
  <c r="H1023" i="3"/>
  <c r="H1024" i="3"/>
  <c r="H1025" i="3"/>
  <c r="H1026" i="3"/>
  <c r="H1027" i="3"/>
  <c r="H1028" i="3"/>
  <c r="H1029" i="3"/>
  <c r="H1030" i="3"/>
  <c r="H1031" i="3"/>
  <c r="H1032" i="3"/>
  <c r="H1033" i="3"/>
  <c r="H1034" i="3"/>
  <c r="H1035" i="3"/>
  <c r="H1036" i="3"/>
  <c r="H1037" i="3"/>
  <c r="H1038" i="3"/>
  <c r="H1039" i="3"/>
  <c r="H1040" i="3"/>
  <c r="H1041" i="3"/>
  <c r="H1042" i="3"/>
  <c r="H1043" i="3"/>
  <c r="H1044" i="3"/>
  <c r="H1045" i="3"/>
  <c r="H1046" i="3"/>
  <c r="H1047" i="3"/>
  <c r="H1048" i="3"/>
  <c r="H1049" i="3"/>
  <c r="H1050" i="3"/>
  <c r="H1051" i="3"/>
  <c r="H1052" i="3"/>
  <c r="H1053" i="3"/>
  <c r="H1054" i="3"/>
  <c r="H1055" i="3"/>
  <c r="H1056" i="3"/>
  <c r="H1057" i="3"/>
  <c r="H1058" i="3"/>
  <c r="H1059" i="3"/>
  <c r="H1060" i="3"/>
  <c r="H1061" i="3"/>
  <c r="H1062" i="3"/>
  <c r="H1063" i="3"/>
  <c r="H1064" i="3"/>
  <c r="H1065" i="3"/>
  <c r="H1066" i="3"/>
  <c r="H1067" i="3"/>
  <c r="H1068" i="3"/>
  <c r="H1069" i="3"/>
  <c r="H1070" i="3"/>
  <c r="H1071" i="3"/>
  <c r="H1072" i="3"/>
  <c r="H1073" i="3"/>
  <c r="H1074" i="3"/>
  <c r="H1075" i="3"/>
  <c r="H1076" i="3"/>
  <c r="H1077" i="3"/>
  <c r="H1078" i="3"/>
  <c r="H1079" i="3"/>
  <c r="H1080" i="3"/>
  <c r="H1081" i="3"/>
  <c r="H1082" i="3"/>
  <c r="H1083" i="3"/>
  <c r="H1084" i="3"/>
  <c r="H1085" i="3"/>
  <c r="H1086" i="3"/>
  <c r="H1087" i="3"/>
  <c r="H1088" i="3"/>
  <c r="H1089" i="3"/>
  <c r="H1090" i="3"/>
  <c r="H1091" i="3"/>
  <c r="H1092" i="3"/>
  <c r="H1093" i="3"/>
  <c r="H1094" i="3"/>
  <c r="H1095" i="3"/>
  <c r="H1096" i="3"/>
  <c r="H1097" i="3"/>
  <c r="H1098" i="3"/>
  <c r="H1099" i="3"/>
  <c r="H1100" i="3"/>
  <c r="H1101" i="3"/>
  <c r="H1102" i="3"/>
  <c r="H1103" i="3"/>
  <c r="H1104" i="3"/>
  <c r="H1105" i="3"/>
  <c r="H1106" i="3"/>
  <c r="H1107" i="3"/>
  <c r="H1108" i="3"/>
  <c r="H1109" i="3"/>
  <c r="H1110" i="3"/>
  <c r="H1111" i="3"/>
  <c r="H1112" i="3"/>
  <c r="H1113" i="3"/>
  <c r="H1114" i="3"/>
  <c r="H1115" i="3"/>
  <c r="H1116" i="3"/>
  <c r="H1117" i="3"/>
  <c r="H1118" i="3"/>
  <c r="H1119" i="3"/>
  <c r="H1120" i="3"/>
  <c r="H1121" i="3"/>
  <c r="H1122" i="3"/>
  <c r="H1123" i="3"/>
  <c r="H1124" i="3"/>
  <c r="H1125" i="3"/>
  <c r="H1126" i="3"/>
  <c r="H1127" i="3"/>
  <c r="H1128" i="3"/>
  <c r="H1129" i="3"/>
  <c r="H1130" i="3"/>
  <c r="H1131" i="3"/>
  <c r="H1132" i="3"/>
  <c r="H1133" i="3"/>
  <c r="H1134" i="3"/>
  <c r="H1135" i="3"/>
  <c r="H1136" i="3"/>
  <c r="H1137" i="3"/>
  <c r="H1138" i="3"/>
  <c r="H1139" i="3"/>
  <c r="H1140" i="3"/>
  <c r="H1141" i="3"/>
  <c r="H1142" i="3"/>
  <c r="H1143" i="3"/>
  <c r="H1144" i="3"/>
  <c r="H1145" i="3"/>
  <c r="H1146" i="3"/>
  <c r="H1147" i="3"/>
  <c r="H1148" i="3"/>
  <c r="H1149" i="3"/>
  <c r="H1150" i="3"/>
  <c r="H1151" i="3"/>
  <c r="H1152" i="3"/>
  <c r="H1153" i="3"/>
  <c r="H1154" i="3"/>
  <c r="H1155" i="3"/>
  <c r="H1156" i="3"/>
  <c r="H1157" i="3"/>
  <c r="H1158" i="3"/>
  <c r="H1159" i="3"/>
  <c r="H1160" i="3"/>
  <c r="H1161" i="3"/>
  <c r="H1162" i="3"/>
  <c r="H1163" i="3"/>
  <c r="H1164" i="3"/>
  <c r="H1165" i="3"/>
  <c r="H1166" i="3"/>
  <c r="H1167" i="3"/>
  <c r="H1168" i="3"/>
  <c r="H1169" i="3"/>
  <c r="H1170" i="3"/>
  <c r="H1171" i="3"/>
  <c r="H1172" i="3"/>
  <c r="H1173" i="3"/>
  <c r="H1174" i="3"/>
  <c r="H1175" i="3"/>
  <c r="H1176" i="3"/>
  <c r="H1177" i="3"/>
  <c r="H1178" i="3"/>
  <c r="H1179" i="3"/>
  <c r="H1180" i="3"/>
  <c r="H1181" i="3"/>
  <c r="H1182" i="3"/>
  <c r="H1183" i="3"/>
  <c r="H1184" i="3"/>
  <c r="H1185" i="3"/>
  <c r="H1186" i="3"/>
  <c r="H1187" i="3"/>
  <c r="H1188" i="3"/>
  <c r="H1189" i="3"/>
  <c r="H1190" i="3"/>
  <c r="H1191" i="3"/>
  <c r="H1192" i="3"/>
  <c r="H1193" i="3"/>
  <c r="H1194" i="3"/>
  <c r="H1195" i="3"/>
  <c r="H1196" i="3"/>
  <c r="H1197" i="3"/>
  <c r="H1198" i="3"/>
  <c r="H1199" i="3"/>
  <c r="H1200" i="3"/>
  <c r="H1201" i="3"/>
  <c r="H1202" i="3"/>
  <c r="H1203" i="3"/>
  <c r="H1204" i="3"/>
  <c r="H1205" i="3"/>
  <c r="H1206" i="3"/>
  <c r="H1207" i="3"/>
  <c r="H1208" i="3"/>
  <c r="H1209" i="3"/>
  <c r="H1210" i="3"/>
  <c r="H1211" i="3"/>
  <c r="H1212" i="3"/>
  <c r="H1213" i="3"/>
  <c r="H1214" i="3"/>
  <c r="H1215" i="3"/>
  <c r="H1216" i="3"/>
  <c r="H1217" i="3"/>
  <c r="H1218" i="3"/>
  <c r="H1219" i="3"/>
  <c r="H1220" i="3"/>
  <c r="H1221" i="3"/>
  <c r="H1222" i="3"/>
  <c r="H1223" i="3"/>
  <c r="H1224" i="3"/>
  <c r="H1225" i="3"/>
  <c r="H1226" i="3"/>
  <c r="H1227" i="3"/>
  <c r="H1228" i="3"/>
  <c r="H1229" i="3"/>
  <c r="H1230" i="3"/>
  <c r="H1231" i="3"/>
  <c r="H1232" i="3"/>
  <c r="H1233" i="3"/>
  <c r="H1234" i="3"/>
  <c r="H1235" i="3"/>
  <c r="H1236" i="3"/>
  <c r="H1237" i="3"/>
  <c r="H1238" i="3"/>
  <c r="H1239" i="3"/>
  <c r="H1240" i="3"/>
  <c r="H1241" i="3"/>
  <c r="H1242" i="3"/>
  <c r="H1243" i="3"/>
  <c r="H1244" i="3"/>
  <c r="H1245" i="3"/>
  <c r="H1246" i="3"/>
  <c r="H1247" i="3"/>
  <c r="H1248" i="3"/>
  <c r="H1249" i="3"/>
  <c r="H1250" i="3"/>
  <c r="H1251" i="3"/>
  <c r="H1252" i="3"/>
  <c r="H1253" i="3"/>
  <c r="H1254" i="3"/>
  <c r="H1255" i="3"/>
  <c r="H1256" i="3"/>
  <c r="H1257" i="3"/>
  <c r="H1258" i="3"/>
  <c r="H1259" i="3"/>
  <c r="H1260" i="3"/>
  <c r="H1261" i="3"/>
  <c r="H1262" i="3"/>
  <c r="H1263" i="3"/>
  <c r="H1264" i="3"/>
  <c r="H1265" i="3"/>
  <c r="H1266" i="3"/>
  <c r="H1267" i="3"/>
  <c r="H1268" i="3"/>
  <c r="H1269" i="3"/>
  <c r="H1270" i="3"/>
  <c r="H1271" i="3"/>
  <c r="H1272" i="3"/>
  <c r="H1273" i="3"/>
  <c r="H1274" i="3"/>
  <c r="H1275" i="3"/>
  <c r="H1276" i="3"/>
  <c r="H1277" i="3"/>
  <c r="H1278" i="3"/>
  <c r="H1279" i="3"/>
  <c r="H1280" i="3"/>
  <c r="H1281" i="3"/>
  <c r="H1282" i="3"/>
  <c r="H1283" i="3"/>
  <c r="H1284" i="3"/>
  <c r="H1285" i="3"/>
  <c r="H1286" i="3"/>
  <c r="H1287" i="3"/>
  <c r="H1288" i="3"/>
  <c r="H1289" i="3"/>
  <c r="H1290" i="3"/>
  <c r="H1291" i="3"/>
  <c r="H1292" i="3"/>
  <c r="H1293" i="3"/>
  <c r="H1294" i="3"/>
  <c r="H1295" i="3"/>
  <c r="H1296" i="3"/>
  <c r="H1297" i="3"/>
  <c r="H1298" i="3"/>
  <c r="H1299" i="3"/>
  <c r="H1300" i="3"/>
  <c r="H1301" i="3"/>
  <c r="H1302" i="3"/>
  <c r="H1303" i="3"/>
  <c r="H1304" i="3"/>
  <c r="H1305" i="3"/>
  <c r="H1306" i="3"/>
  <c r="H1307" i="3"/>
  <c r="H1308" i="3"/>
  <c r="H1309" i="3"/>
  <c r="H1310" i="3"/>
  <c r="H1311" i="3"/>
  <c r="H1312" i="3"/>
  <c r="H1313" i="3"/>
  <c r="H1314" i="3"/>
  <c r="H1315" i="3"/>
  <c r="H1316" i="3"/>
  <c r="H1317" i="3"/>
  <c r="H1318" i="3"/>
  <c r="H1319" i="3"/>
  <c r="H1320" i="3"/>
  <c r="H1321" i="3"/>
  <c r="H1322" i="3"/>
  <c r="H1323" i="3"/>
  <c r="H1324" i="3"/>
  <c r="H1325" i="3"/>
  <c r="H1326" i="3"/>
  <c r="H1327" i="3"/>
  <c r="H1328" i="3"/>
  <c r="H1329" i="3"/>
  <c r="H1330" i="3"/>
  <c r="H1331" i="3"/>
  <c r="H1332" i="3"/>
  <c r="H1333" i="3"/>
  <c r="H1334" i="3"/>
  <c r="H1335" i="3"/>
  <c r="H1336" i="3"/>
  <c r="H1337" i="3"/>
  <c r="H1338" i="3"/>
  <c r="H1339" i="3"/>
  <c r="I30" i="6"/>
  <c r="I29" i="6"/>
  <c r="I28" i="6"/>
  <c r="I27" i="6"/>
  <c r="B7" i="6"/>
  <c r="B6" i="6"/>
</calcChain>
</file>

<file path=xl/sharedStrings.xml><?xml version="1.0" encoding="utf-8"?>
<sst xmlns="http://schemas.openxmlformats.org/spreadsheetml/2006/main" count="8102" uniqueCount="53">
  <si>
    <t>age</t>
  </si>
  <si>
    <t>sex</t>
  </si>
  <si>
    <t>bmi</t>
  </si>
  <si>
    <t>children</t>
  </si>
  <si>
    <t>smoker</t>
  </si>
  <si>
    <t>region</t>
  </si>
  <si>
    <t>charges</t>
  </si>
  <si>
    <t>female</t>
  </si>
  <si>
    <t>yes</t>
  </si>
  <si>
    <t>southwest</t>
  </si>
  <si>
    <t>male</t>
  </si>
  <si>
    <t>no</t>
  </si>
  <si>
    <t>southeast</t>
  </si>
  <si>
    <t>northwest</t>
  </si>
  <si>
    <t>northeast</t>
  </si>
  <si>
    <t>Age Group</t>
  </si>
  <si>
    <t>BMI Category</t>
  </si>
  <si>
    <t>High Cost Indicator</t>
  </si>
  <si>
    <t>Average of charges</t>
  </si>
  <si>
    <t>Smoker</t>
  </si>
  <si>
    <t>18-29</t>
  </si>
  <si>
    <t>30-39</t>
  </si>
  <si>
    <t>40-49</t>
  </si>
  <si>
    <t>50-59</t>
  </si>
  <si>
    <t>60+</t>
  </si>
  <si>
    <t>Normal</t>
  </si>
  <si>
    <t>Obese</t>
  </si>
  <si>
    <t>Overweight</t>
  </si>
  <si>
    <t>Underweight</t>
  </si>
  <si>
    <t>Region</t>
  </si>
  <si>
    <t>KPI</t>
  </si>
  <si>
    <t>Metric</t>
  </si>
  <si>
    <t>Total Records</t>
  </si>
  <si>
    <t>Average Charge</t>
  </si>
  <si>
    <t>Maximum Charge</t>
  </si>
  <si>
    <t>Average Smoker Charge</t>
  </si>
  <si>
    <t>Average Non-Smoker Charge</t>
  </si>
  <si>
    <t>Value</t>
  </si>
  <si>
    <t>Key Findings</t>
  </si>
  <si>
    <t>Smokers incur approximately 3.8x hgiher medical costs than non-smokers.</t>
  </si>
  <si>
    <t>Average charges increase consistently with age.</t>
  </si>
  <si>
    <t>Obese individuals have higher average claim costs.</t>
  </si>
  <si>
    <t>Regional differences are modest, especially compared to differences incurred by smoking.</t>
  </si>
  <si>
    <t>Segment</t>
  </si>
  <si>
    <t>Non-Smoker &amp; Normal BMI</t>
  </si>
  <si>
    <t>Non-Smoker &amp; Obese</t>
  </si>
  <si>
    <t>Smoker &amp; Normal BMI</t>
  </si>
  <si>
    <t>Smoker &amp; Obese</t>
  </si>
  <si>
    <t>Average Charges</t>
  </si>
  <si>
    <t>Northeast</t>
  </si>
  <si>
    <t>Northwest</t>
  </si>
  <si>
    <t>Southeast</t>
  </si>
  <si>
    <t>Southwest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</si>
</sst>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quot;$&quot;#,##0.00"/>
  </numFmts>
  <fonts count="21"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26"/>
      <color theme="1"/>
      <name val="Aptos Narrow"/>
      <family val="2"/>
      <scheme val="minor"/>
    </font>
    <font>
      <b/>
      <sz val="18"/>
      <color theme="1"/>
      <name val="Aptos Narrow"/>
      <family val="2"/>
      <scheme val="minor"/>
    </font>
    <font>
      <sz val="16"/>
      <color theme="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s>
  <cellStyleXfs count="43">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4">
    <xf numFmtId="0" fontId="0" fillId="0" borderId="0" xfId="0"/>
    <xf numFmtId="0" fontId="0" fillId="0" borderId="0" xfId="0" pivotButton="1"/>
    <xf numFmtId="0" fontId="0" fillId="0" borderId="0" xfId="0" applyAlignment="1">
      <alignment horizontal="left"/>
    </xf>
    <xf numFmtId="164" fontId="0" fillId="0" borderId="0" xfId="0" applyNumberFormat="1"/>
    <xf numFmtId="0" fontId="18" fillId="0" borderId="0" xfId="0" applyFont="1" applyAlignment="1">
      <alignment horizontal="center"/>
    </xf>
    <xf numFmtId="0" fontId="19" fillId="0" borderId="16" xfId="0" applyFont="1" applyBorder="1"/>
    <xf numFmtId="0" fontId="19" fillId="0" borderId="17" xfId="0" applyFont="1" applyBorder="1"/>
    <xf numFmtId="0" fontId="20" fillId="0" borderId="14" xfId="0" applyFont="1" applyBorder="1"/>
    <xf numFmtId="0" fontId="20" fillId="0" borderId="15" xfId="0" applyFont="1" applyBorder="1"/>
    <xf numFmtId="0" fontId="20" fillId="0" borderId="10" xfId="0" applyFont="1" applyBorder="1"/>
    <xf numFmtId="0" fontId="20" fillId="0" borderId="12" xfId="0" applyFont="1" applyBorder="1"/>
    <xf numFmtId="44" fontId="20" fillId="0" borderId="11" xfId="1" applyFont="1" applyBorder="1"/>
    <xf numFmtId="44" fontId="20" fillId="0" borderId="13" xfId="1" applyFont="1" applyBorder="1"/>
    <xf numFmtId="0" fontId="19" fillId="0" borderId="0" xfId="0" applyFont="1" applyAlignment="1">
      <alignment horizontal="center"/>
    </xf>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urrency" xfId="1" builtinId="4"/>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4">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[insurance.xlsx]Pivot_Tables!PivotTable5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Charges by BMI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Pivot_Tables!$B$12</c:f>
              <c:strCache>
                <c:ptCount val="1"/>
                <c:pt idx="0">
                  <c:v>Total</c:v>
                </c:pt>
              </c:strCache>
            </c:strRef>
          </c:tx>
          <c:spPr>
            <a:solidFill>
              <a:schemeClr val="accent1"/>
            </a:solidFill>
            <a:ln>
              <a:noFill/>
            </a:ln>
            <a:effectLst/>
          </c:spPr>
          <c:invertIfNegative val="0"/>
          <c:cat>
            <c:strRef>
              <c:f>Pivot_Tables!$A$13:$A$16</c:f>
              <c:strCache>
                <c:ptCount val="4"/>
                <c:pt idx="0">
                  <c:v>Underweight</c:v>
                </c:pt>
                <c:pt idx="1">
                  <c:v>Normal</c:v>
                </c:pt>
                <c:pt idx="2">
                  <c:v>Overweight</c:v>
                </c:pt>
                <c:pt idx="3">
                  <c:v>Obese</c:v>
                </c:pt>
              </c:strCache>
            </c:strRef>
          </c:cat>
          <c:val>
            <c:numRef>
              <c:f>Pivot_Tables!$B$13:$B$16</c:f>
              <c:numCache>
                <c:formatCode>"$"#,##0.00</c:formatCode>
                <c:ptCount val="4"/>
                <c:pt idx="0">
                  <c:v>8852.2005850000023</c:v>
                </c:pt>
                <c:pt idx="1">
                  <c:v>10409.337708977779</c:v>
                </c:pt>
                <c:pt idx="2">
                  <c:v>10987.509891318654</c:v>
                </c:pt>
                <c:pt idx="3">
                  <c:v>15552.335468868452</c:v>
                </c:pt>
              </c:numCache>
            </c:numRef>
          </c:val>
          <c:extLst>
            <c:ext xmlns:c16="http://schemas.microsoft.com/office/drawing/2014/chart" uri="{C3380CC4-5D6E-409C-BE32-E72D297353CC}">
              <c16:uniqueId val="{00000004-CE19-4374-AAE1-DE2110735B3A}"/>
            </c:ext>
          </c:extLst>
        </c:ser>
        <c:dLbls>
          <c:showLegendKey val="0"/>
          <c:showVal val="0"/>
          <c:showCatName val="0"/>
          <c:showSerName val="0"/>
          <c:showPercent val="0"/>
          <c:showBubbleSize val="0"/>
        </c:dLbls>
        <c:gapWidth val="219"/>
        <c:overlap val="-27"/>
        <c:axId val="269813647"/>
        <c:axId val="2003139263"/>
      </c:barChart>
      <c:catAx>
        <c:axId val="2698136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3139263"/>
        <c:crosses val="autoZero"/>
        <c:auto val="1"/>
        <c:lblAlgn val="ctr"/>
        <c:lblOffset val="100"/>
        <c:noMultiLvlLbl val="0"/>
      </c:catAx>
      <c:valAx>
        <c:axId val="200313926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981364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[insurance.xlsx]Pivot_Tables!PivotTable4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Charges by Age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c:f>
              <c:strCache>
                <c:ptCount val="1"/>
                <c:pt idx="0">
                  <c:v>Total</c:v>
                </c:pt>
              </c:strCache>
            </c:strRef>
          </c:tx>
          <c:spPr>
            <a:solidFill>
              <a:schemeClr val="accent1"/>
            </a:solidFill>
            <a:ln>
              <a:noFill/>
            </a:ln>
            <a:effectLst/>
          </c:spPr>
          <c:invertIfNegative val="0"/>
          <c:cat>
            <c:strRef>
              <c:f>Pivot_Tables!$A$6:$A$10</c:f>
              <c:strCache>
                <c:ptCount val="5"/>
                <c:pt idx="0">
                  <c:v>18-29</c:v>
                </c:pt>
                <c:pt idx="1">
                  <c:v>30-39</c:v>
                </c:pt>
                <c:pt idx="2">
                  <c:v>40-49</c:v>
                </c:pt>
                <c:pt idx="3">
                  <c:v>50-59</c:v>
                </c:pt>
                <c:pt idx="4">
                  <c:v>60+</c:v>
                </c:pt>
              </c:strCache>
            </c:strRef>
          </c:cat>
          <c:val>
            <c:numRef>
              <c:f>Pivot_Tables!$B$6:$B$10</c:f>
              <c:numCache>
                <c:formatCode>"$"#,##0.00</c:formatCode>
                <c:ptCount val="5"/>
                <c:pt idx="0">
                  <c:v>9182.4871251534732</c:v>
                </c:pt>
                <c:pt idx="1">
                  <c:v>11738.784117354091</c:v>
                </c:pt>
                <c:pt idx="2">
                  <c:v>14399.203563870966</c:v>
                </c:pt>
                <c:pt idx="3">
                  <c:v>16495.232664981537</c:v>
                </c:pt>
                <c:pt idx="4">
                  <c:v>21248.021884912272</c:v>
                </c:pt>
              </c:numCache>
            </c:numRef>
          </c:val>
          <c:extLst>
            <c:ext xmlns:c16="http://schemas.microsoft.com/office/drawing/2014/chart" uri="{C3380CC4-5D6E-409C-BE32-E72D297353CC}">
              <c16:uniqueId val="{00000003-6AE7-4C4D-A212-3944D8EBF713}"/>
            </c:ext>
          </c:extLst>
        </c:ser>
        <c:dLbls>
          <c:showLegendKey val="0"/>
          <c:showVal val="0"/>
          <c:showCatName val="0"/>
          <c:showSerName val="0"/>
          <c:showPercent val="0"/>
          <c:showBubbleSize val="0"/>
        </c:dLbls>
        <c:gapWidth val="219"/>
        <c:overlap val="-27"/>
        <c:axId val="1993905615"/>
        <c:axId val="1993902735"/>
      </c:barChart>
      <c:catAx>
        <c:axId val="19939056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3902735"/>
        <c:crosses val="autoZero"/>
        <c:auto val="1"/>
        <c:lblAlgn val="ctr"/>
        <c:lblOffset val="100"/>
        <c:noMultiLvlLbl val="0"/>
      </c:catAx>
      <c:valAx>
        <c:axId val="1993902735"/>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39056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[insurance.xlsx]Pivot_Tables!PivotTable6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Charges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Pivot_Tables!$B$18</c:f>
              <c:strCache>
                <c:ptCount val="1"/>
                <c:pt idx="0">
                  <c:v>Total</c:v>
                </c:pt>
              </c:strCache>
            </c:strRef>
          </c:tx>
          <c:spPr>
            <a:solidFill>
              <a:schemeClr val="accent1"/>
            </a:solidFill>
            <a:ln>
              <a:noFill/>
            </a:ln>
            <a:effectLst/>
          </c:spPr>
          <c:invertIfNegative val="0"/>
          <c:cat>
            <c:strRef>
              <c:f>Pivot_Tables!$A$19:$A$22</c:f>
              <c:strCache>
                <c:ptCount val="4"/>
                <c:pt idx="0">
                  <c:v>northeast</c:v>
                </c:pt>
                <c:pt idx="1">
                  <c:v>northwest</c:v>
                </c:pt>
                <c:pt idx="2">
                  <c:v>southeast</c:v>
                </c:pt>
                <c:pt idx="3">
                  <c:v>southwest</c:v>
                </c:pt>
              </c:strCache>
            </c:strRef>
          </c:cat>
          <c:val>
            <c:numRef>
              <c:f>Pivot_Tables!$B$19:$B$22</c:f>
              <c:numCache>
                <c:formatCode>"$"#,##0.00</c:formatCode>
                <c:ptCount val="4"/>
                <c:pt idx="0">
                  <c:v>13406.3845163858</c:v>
                </c:pt>
                <c:pt idx="1">
                  <c:v>12417.575373969228</c:v>
                </c:pt>
                <c:pt idx="2">
                  <c:v>14735.411437609895</c:v>
                </c:pt>
                <c:pt idx="3">
                  <c:v>12346.93737729231</c:v>
                </c:pt>
              </c:numCache>
            </c:numRef>
          </c:val>
          <c:extLst>
            <c:ext xmlns:c16="http://schemas.microsoft.com/office/drawing/2014/chart" uri="{C3380CC4-5D6E-409C-BE32-E72D297353CC}">
              <c16:uniqueId val="{00000003-2485-4D87-96DD-800169007D9C}"/>
            </c:ext>
          </c:extLst>
        </c:ser>
        <c:dLbls>
          <c:showLegendKey val="0"/>
          <c:showVal val="0"/>
          <c:showCatName val="0"/>
          <c:showSerName val="0"/>
          <c:showPercent val="0"/>
          <c:showBubbleSize val="0"/>
        </c:dLbls>
        <c:gapWidth val="219"/>
        <c:overlap val="-27"/>
        <c:axId val="2120075008"/>
        <c:axId val="2120074528"/>
      </c:barChart>
      <c:catAx>
        <c:axId val="2120075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0074528"/>
        <c:crosses val="autoZero"/>
        <c:auto val="1"/>
        <c:lblAlgn val="ctr"/>
        <c:lblOffset val="100"/>
        <c:noMultiLvlLbl val="0"/>
      </c:catAx>
      <c:valAx>
        <c:axId val="212007452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007500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[insurance.xlsx]Pivot_Tables!PivotTable14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Charges by</a:t>
            </a:r>
            <a:r>
              <a:rPr lang="en-US" baseline="0"/>
              <a:t> Smoker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c:f>
              <c:strCache>
                <c:ptCount val="1"/>
                <c:pt idx="0">
                  <c:v>Total</c:v>
                </c:pt>
              </c:strCache>
            </c:strRef>
          </c:tx>
          <c:spPr>
            <a:solidFill>
              <a:schemeClr val="accent1"/>
            </a:solidFill>
            <a:ln>
              <a:noFill/>
            </a:ln>
            <a:effectLst/>
          </c:spPr>
          <c:invertIfNegative val="0"/>
          <c:cat>
            <c:strRef>
              <c:f>Pivot_Tables!$A$2:$A$3</c:f>
              <c:strCache>
                <c:ptCount val="2"/>
                <c:pt idx="0">
                  <c:v>no</c:v>
                </c:pt>
                <c:pt idx="1">
                  <c:v>yes</c:v>
                </c:pt>
              </c:strCache>
            </c:strRef>
          </c:cat>
          <c:val>
            <c:numRef>
              <c:f>Pivot_Tables!$B$2:$B$3</c:f>
              <c:numCache>
                <c:formatCode>"$"#,##0.00</c:formatCode>
                <c:ptCount val="2"/>
                <c:pt idx="0">
                  <c:v>8434.2682978561988</c:v>
                </c:pt>
                <c:pt idx="1">
                  <c:v>32050.231831532848</c:v>
                </c:pt>
              </c:numCache>
            </c:numRef>
          </c:val>
          <c:extLst>
            <c:ext xmlns:c16="http://schemas.microsoft.com/office/drawing/2014/chart" uri="{C3380CC4-5D6E-409C-BE32-E72D297353CC}">
              <c16:uniqueId val="{00000003-0CC0-41F6-A0F4-4BED2445C93F}"/>
            </c:ext>
          </c:extLst>
        </c:ser>
        <c:dLbls>
          <c:showLegendKey val="0"/>
          <c:showVal val="0"/>
          <c:showCatName val="0"/>
          <c:showSerName val="0"/>
          <c:showPercent val="0"/>
          <c:showBubbleSize val="0"/>
        </c:dLbls>
        <c:gapWidth val="219"/>
        <c:overlap val="-27"/>
        <c:axId val="2118048448"/>
        <c:axId val="2118047008"/>
      </c:barChart>
      <c:catAx>
        <c:axId val="21180484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8047008"/>
        <c:crosses val="autoZero"/>
        <c:auto val="1"/>
        <c:lblAlgn val="ctr"/>
        <c:lblOffset val="100"/>
        <c:noMultiLvlLbl val="0"/>
      </c:catAx>
      <c:valAx>
        <c:axId val="211804700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80484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38099</xdr:colOff>
      <xdr:row>9</xdr:row>
      <xdr:rowOff>180975</xdr:rowOff>
    </xdr:from>
    <xdr:to>
      <xdr:col>9</xdr:col>
      <xdr:colOff>342899</xdr:colOff>
      <xdr:row>23</xdr:row>
      <xdr:rowOff>9525</xdr:rowOff>
    </xdr:to>
    <xdr:graphicFrame macro="">
      <xdr:nvGraphicFramePr>
        <xdr:cNvPr id="3" name="Chart 2">
          <a:extLst>
            <a:ext uri="{FF2B5EF4-FFF2-40B4-BE49-F238E27FC236}">
              <a16:creationId xmlns:a16="http://schemas.microsoft.com/office/drawing/2014/main" id="{0B37621E-A3C1-92EB-6235-764B91E69F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357187</xdr:colOff>
      <xdr:row>0</xdr:row>
      <xdr:rowOff>152400</xdr:rowOff>
    </xdr:from>
    <xdr:to>
      <xdr:col>17</xdr:col>
      <xdr:colOff>52387</xdr:colOff>
      <xdr:row>9</xdr:row>
      <xdr:rowOff>152400</xdr:rowOff>
    </xdr:to>
    <xdr:graphicFrame macro="">
      <xdr:nvGraphicFramePr>
        <xdr:cNvPr id="5" name="Chart 4">
          <a:extLst>
            <a:ext uri="{FF2B5EF4-FFF2-40B4-BE49-F238E27FC236}">
              <a16:creationId xmlns:a16="http://schemas.microsoft.com/office/drawing/2014/main" id="{CA0B3462-C2F7-3D96-1709-2A0E0E44E4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366712</xdr:colOff>
      <xdr:row>9</xdr:row>
      <xdr:rowOff>171450</xdr:rowOff>
    </xdr:from>
    <xdr:to>
      <xdr:col>17</xdr:col>
      <xdr:colOff>61912</xdr:colOff>
      <xdr:row>23</xdr:row>
      <xdr:rowOff>762</xdr:rowOff>
    </xdr:to>
    <xdr:graphicFrame macro="">
      <xdr:nvGraphicFramePr>
        <xdr:cNvPr id="7" name="Chart 6">
          <a:extLst>
            <a:ext uri="{FF2B5EF4-FFF2-40B4-BE49-F238E27FC236}">
              <a16:creationId xmlns:a16="http://schemas.microsoft.com/office/drawing/2014/main" id="{4DF4AB52-53D9-F08E-A4BA-95BD10669E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9524</xdr:colOff>
      <xdr:row>7</xdr:row>
      <xdr:rowOff>38099</xdr:rowOff>
    </xdr:from>
    <xdr:to>
      <xdr:col>0</xdr:col>
      <xdr:colOff>1962149</xdr:colOff>
      <xdr:row>13</xdr:row>
      <xdr:rowOff>180974</xdr:rowOff>
    </xdr:to>
    <mc:AlternateContent xmlns:mc="http://schemas.openxmlformats.org/markup-compatibility/2006">
      <mc:Choice xmlns:a14="http://schemas.microsoft.com/office/drawing/2010/main" Requires="a14">
        <xdr:graphicFrame macro="">
          <xdr:nvGraphicFramePr>
            <xdr:cNvPr id="11" name="smoker">
              <a:extLst>
                <a:ext uri="{FF2B5EF4-FFF2-40B4-BE49-F238E27FC236}">
                  <a16:creationId xmlns:a16="http://schemas.microsoft.com/office/drawing/2014/main" id="{F61B9E52-D205-438F-B6EE-2E421363E178}"/>
                </a:ext>
              </a:extLst>
            </xdr:cNvPr>
            <xdr:cNvGraphicFramePr/>
          </xdr:nvGraphicFramePr>
          <xdr:xfrm>
            <a:off x="0" y="0"/>
            <a:ext cx="0" cy="0"/>
          </xdr:xfrm>
          <a:graphic>
            <a:graphicData uri="http://schemas.microsoft.com/office/drawing/2010/slicer">
              <sle:slicer xmlns:sle="http://schemas.microsoft.com/office/drawing/2010/slicer" name="smoker"/>
            </a:graphicData>
          </a:graphic>
        </xdr:graphicFrame>
      </mc:Choice>
      <mc:Fallback>
        <xdr:sp macro="" textlink="">
          <xdr:nvSpPr>
            <xdr:cNvPr id="0" name=""/>
            <xdr:cNvSpPr>
              <a:spLocks noTextEdit="1"/>
            </xdr:cNvSpPr>
          </xdr:nvSpPr>
          <xdr:spPr>
            <a:xfrm>
              <a:off x="9524" y="2152649"/>
              <a:ext cx="1952625" cy="1285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1981201</xdr:colOff>
      <xdr:row>7</xdr:row>
      <xdr:rowOff>38099</xdr:rowOff>
    </xdr:from>
    <xdr:to>
      <xdr:col>2</xdr:col>
      <xdr:colOff>38100</xdr:colOff>
      <xdr:row>13</xdr:row>
      <xdr:rowOff>171450</xdr:rowOff>
    </xdr:to>
    <mc:AlternateContent xmlns:mc="http://schemas.openxmlformats.org/markup-compatibility/2006">
      <mc:Choice xmlns:a14="http://schemas.microsoft.com/office/drawing/2010/main" Requires="a14">
        <xdr:graphicFrame macro="">
          <xdr:nvGraphicFramePr>
            <xdr:cNvPr id="12" name="sex">
              <a:extLst>
                <a:ext uri="{FF2B5EF4-FFF2-40B4-BE49-F238E27FC236}">
                  <a16:creationId xmlns:a16="http://schemas.microsoft.com/office/drawing/2014/main" id="{59E3F50D-22C3-4000-BF9F-1A97874E29A1}"/>
                </a:ext>
              </a:extLst>
            </xdr:cNvPr>
            <xdr:cNvGraphicFramePr/>
          </xdr:nvGraphicFramePr>
          <xdr:xfrm>
            <a:off x="0" y="0"/>
            <a:ext cx="0" cy="0"/>
          </xdr:xfrm>
          <a:graphic>
            <a:graphicData uri="http://schemas.microsoft.com/office/drawing/2010/slicer">
              <sle:slicer xmlns:sle="http://schemas.microsoft.com/office/drawing/2010/slicer" name="sex"/>
            </a:graphicData>
          </a:graphic>
        </xdr:graphicFrame>
      </mc:Choice>
      <mc:Fallback>
        <xdr:sp macro="" textlink="">
          <xdr:nvSpPr>
            <xdr:cNvPr id="0" name=""/>
            <xdr:cNvSpPr>
              <a:spLocks noTextEdit="1"/>
            </xdr:cNvSpPr>
          </xdr:nvSpPr>
          <xdr:spPr>
            <a:xfrm>
              <a:off x="1981201" y="2152649"/>
              <a:ext cx="1952624" cy="12763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28575</xdr:colOff>
      <xdr:row>13</xdr:row>
      <xdr:rowOff>180975</xdr:rowOff>
    </xdr:from>
    <xdr:to>
      <xdr:col>1</xdr:col>
      <xdr:colOff>1114425</xdr:colOff>
      <xdr:row>22</xdr:row>
      <xdr:rowOff>57150</xdr:rowOff>
    </xdr:to>
    <mc:AlternateContent xmlns:mc="http://schemas.openxmlformats.org/markup-compatibility/2006">
      <mc:Choice xmlns:a14="http://schemas.microsoft.com/office/drawing/2010/main" Requires="a14">
        <xdr:graphicFrame macro="">
          <xdr:nvGraphicFramePr>
            <xdr:cNvPr id="13" name="region">
              <a:extLst>
                <a:ext uri="{FF2B5EF4-FFF2-40B4-BE49-F238E27FC236}">
                  <a16:creationId xmlns:a16="http://schemas.microsoft.com/office/drawing/2014/main" id="{0BC3B2FF-294F-4B8A-B088-496667BA8C8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28575" y="3438525"/>
              <a:ext cx="3838575" cy="1590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38098</xdr:colOff>
      <xdr:row>0</xdr:row>
      <xdr:rowOff>161925</xdr:rowOff>
    </xdr:from>
    <xdr:to>
      <xdr:col>9</xdr:col>
      <xdr:colOff>342898</xdr:colOff>
      <xdr:row>9</xdr:row>
      <xdr:rowOff>162687</xdr:rowOff>
    </xdr:to>
    <xdr:graphicFrame macro="">
      <xdr:nvGraphicFramePr>
        <xdr:cNvPr id="14" name="Chart 13">
          <a:extLst>
            <a:ext uri="{FF2B5EF4-FFF2-40B4-BE49-F238E27FC236}">
              <a16:creationId xmlns:a16="http://schemas.microsoft.com/office/drawing/2014/main" id="{B6021722-61DF-BB98-D5E5-0090AE150E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rant Toomey" refreshedDate="46182.512983564811" createdVersion="8" refreshedVersion="8" minRefreshableVersion="3" recordCount="1338" xr:uid="{78B145CC-EAC7-45E6-95F2-927488D76CE1}">
  <cacheSource type="worksheet">
    <worksheetSource name="tblInsurance3"/>
  </cacheSource>
  <cacheFields count="10">
    <cacheField name="age" numFmtId="0">
      <sharedItems containsSemiMixedTypes="0" containsString="0" containsNumber="1" containsInteger="1" minValue="18" maxValue="64"/>
    </cacheField>
    <cacheField name="sex" numFmtId="0">
      <sharedItems count="2">
        <s v="female"/>
        <s v="male"/>
      </sharedItems>
    </cacheField>
    <cacheField name="bmi" numFmtId="0">
      <sharedItems containsSemiMixedTypes="0" containsString="0" containsNumber="1" minValue="15.96" maxValue="53.13"/>
    </cacheField>
    <cacheField name="children" numFmtId="0">
      <sharedItems containsSemiMixedTypes="0" containsString="0" containsNumber="1" containsInteger="1" minValue="0" maxValue="5"/>
    </cacheField>
    <cacheField name="smoker" numFmtId="0">
      <sharedItems count="2">
        <s v="yes"/>
        <s v="no"/>
      </sharedItems>
    </cacheField>
    <cacheField name="region" numFmtId="0">
      <sharedItems count="4">
        <s v="southwest"/>
        <s v="southeast"/>
        <s v="northwest"/>
        <s v="northeast"/>
      </sharedItems>
    </cacheField>
    <cacheField name="charges" numFmtId="0">
      <sharedItems containsSemiMixedTypes="0" containsString="0" containsNumber="1" minValue="1121.8739" maxValue="63770.428010000003"/>
    </cacheField>
    <cacheField name="Age Group" numFmtId="0">
      <sharedItems count="5">
        <s v="18-29"/>
        <s v="30-39"/>
        <s v="40-49"/>
        <s v="60+"/>
        <s v="50-59"/>
      </sharedItems>
    </cacheField>
    <cacheField name="BMI Category" numFmtId="0">
      <sharedItems count="4">
        <s v="Overweight"/>
        <s v="Obese"/>
        <s v="Normal"/>
        <s v="Underweight"/>
      </sharedItems>
    </cacheField>
    <cacheField name="High Cost Indicator" numFmtId="0">
      <sharedItems/>
    </cacheField>
  </cacheFields>
  <extLst>
    <ext xmlns:x14="http://schemas.microsoft.com/office/spreadsheetml/2009/9/main" uri="{725AE2AE-9491-48be-B2B4-4EB974FC3084}">
      <x14:pivotCacheDefinition pivotCacheId="58741848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8">
  <r>
    <n v="19"/>
    <x v="0"/>
    <n v="27.9"/>
    <n v="0"/>
    <x v="0"/>
    <x v="0"/>
    <n v="16884.923999999999"/>
    <x v="0"/>
    <x v="0"/>
    <s v="No"/>
  </r>
  <r>
    <n v="18"/>
    <x v="1"/>
    <n v="33.770000000000003"/>
    <n v="1"/>
    <x v="1"/>
    <x v="1"/>
    <n v="1725.5523000000001"/>
    <x v="0"/>
    <x v="1"/>
    <s v="No"/>
  </r>
  <r>
    <n v="28"/>
    <x v="1"/>
    <n v="33"/>
    <n v="3"/>
    <x v="1"/>
    <x v="1"/>
    <n v="4449.4620000000004"/>
    <x v="0"/>
    <x v="1"/>
    <s v="No"/>
  </r>
  <r>
    <n v="33"/>
    <x v="1"/>
    <n v="22.704999999999998"/>
    <n v="0"/>
    <x v="1"/>
    <x v="2"/>
    <n v="21984.47061"/>
    <x v="1"/>
    <x v="2"/>
    <s v="Yes"/>
  </r>
  <r>
    <n v="32"/>
    <x v="1"/>
    <n v="28.88"/>
    <n v="0"/>
    <x v="1"/>
    <x v="2"/>
    <n v="3866.8552"/>
    <x v="1"/>
    <x v="0"/>
    <s v="No"/>
  </r>
  <r>
    <n v="31"/>
    <x v="0"/>
    <n v="25.74"/>
    <n v="0"/>
    <x v="1"/>
    <x v="1"/>
    <n v="3756.6215999999999"/>
    <x v="1"/>
    <x v="0"/>
    <s v="No"/>
  </r>
  <r>
    <n v="46"/>
    <x v="0"/>
    <n v="33.44"/>
    <n v="1"/>
    <x v="1"/>
    <x v="1"/>
    <n v="8240.5895999999993"/>
    <x v="2"/>
    <x v="1"/>
    <s v="No"/>
  </r>
  <r>
    <n v="37"/>
    <x v="0"/>
    <n v="27.74"/>
    <n v="3"/>
    <x v="1"/>
    <x v="2"/>
    <n v="7281.5056000000004"/>
    <x v="1"/>
    <x v="0"/>
    <s v="No"/>
  </r>
  <r>
    <n v="37"/>
    <x v="1"/>
    <n v="29.83"/>
    <n v="2"/>
    <x v="1"/>
    <x v="3"/>
    <n v="6406.4107000000004"/>
    <x v="1"/>
    <x v="0"/>
    <s v="No"/>
  </r>
  <r>
    <n v="60"/>
    <x v="0"/>
    <n v="25.84"/>
    <n v="0"/>
    <x v="1"/>
    <x v="2"/>
    <n v="28923.136920000001"/>
    <x v="3"/>
    <x v="0"/>
    <s v="Yes"/>
  </r>
  <r>
    <n v="25"/>
    <x v="1"/>
    <n v="26.22"/>
    <n v="0"/>
    <x v="1"/>
    <x v="3"/>
    <n v="2721.3208"/>
    <x v="0"/>
    <x v="0"/>
    <s v="No"/>
  </r>
  <r>
    <n v="62"/>
    <x v="0"/>
    <n v="26.29"/>
    <n v="0"/>
    <x v="0"/>
    <x v="1"/>
    <n v="27808.7251"/>
    <x v="3"/>
    <x v="0"/>
    <s v="Yes"/>
  </r>
  <r>
    <n v="23"/>
    <x v="1"/>
    <n v="34.4"/>
    <n v="0"/>
    <x v="1"/>
    <x v="0"/>
    <n v="1826.8430000000001"/>
    <x v="0"/>
    <x v="1"/>
    <s v="No"/>
  </r>
  <r>
    <n v="56"/>
    <x v="0"/>
    <n v="39.82"/>
    <n v="0"/>
    <x v="1"/>
    <x v="1"/>
    <n v="11090.7178"/>
    <x v="4"/>
    <x v="1"/>
    <s v="No"/>
  </r>
  <r>
    <n v="27"/>
    <x v="1"/>
    <n v="42.13"/>
    <n v="0"/>
    <x v="0"/>
    <x v="1"/>
    <n v="39611.757700000002"/>
    <x v="0"/>
    <x v="1"/>
    <s v="Yes"/>
  </r>
  <r>
    <n v="19"/>
    <x v="1"/>
    <n v="24.6"/>
    <n v="1"/>
    <x v="1"/>
    <x v="0"/>
    <n v="1837.2370000000001"/>
    <x v="0"/>
    <x v="2"/>
    <s v="No"/>
  </r>
  <r>
    <n v="52"/>
    <x v="0"/>
    <n v="30.78"/>
    <n v="1"/>
    <x v="1"/>
    <x v="3"/>
    <n v="10797.3362"/>
    <x v="4"/>
    <x v="1"/>
    <s v="No"/>
  </r>
  <r>
    <n v="23"/>
    <x v="1"/>
    <n v="23.844999999999999"/>
    <n v="0"/>
    <x v="1"/>
    <x v="3"/>
    <n v="2395.17155"/>
    <x v="0"/>
    <x v="2"/>
    <s v="No"/>
  </r>
  <r>
    <n v="56"/>
    <x v="1"/>
    <n v="40.299999999999997"/>
    <n v="0"/>
    <x v="1"/>
    <x v="0"/>
    <n v="10602.385"/>
    <x v="4"/>
    <x v="1"/>
    <s v="No"/>
  </r>
  <r>
    <n v="30"/>
    <x v="1"/>
    <n v="35.299999999999997"/>
    <n v="0"/>
    <x v="0"/>
    <x v="0"/>
    <n v="36837.466999999997"/>
    <x v="1"/>
    <x v="1"/>
    <s v="Yes"/>
  </r>
  <r>
    <n v="60"/>
    <x v="0"/>
    <n v="36.005000000000003"/>
    <n v="0"/>
    <x v="1"/>
    <x v="3"/>
    <n v="13228.846949999999"/>
    <x v="3"/>
    <x v="1"/>
    <s v="No"/>
  </r>
  <r>
    <n v="30"/>
    <x v="0"/>
    <n v="32.4"/>
    <n v="1"/>
    <x v="1"/>
    <x v="0"/>
    <n v="4149.7359999999999"/>
    <x v="1"/>
    <x v="1"/>
    <s v="No"/>
  </r>
  <r>
    <n v="18"/>
    <x v="1"/>
    <n v="34.1"/>
    <n v="0"/>
    <x v="1"/>
    <x v="1"/>
    <n v="1137.011"/>
    <x v="0"/>
    <x v="1"/>
    <s v="No"/>
  </r>
  <r>
    <n v="34"/>
    <x v="0"/>
    <n v="31.92"/>
    <n v="1"/>
    <x v="0"/>
    <x v="3"/>
    <n v="37701.876799999998"/>
    <x v="1"/>
    <x v="1"/>
    <s v="Yes"/>
  </r>
  <r>
    <n v="37"/>
    <x v="1"/>
    <n v="28.024999999999999"/>
    <n v="2"/>
    <x v="1"/>
    <x v="2"/>
    <n v="6203.90175"/>
    <x v="1"/>
    <x v="0"/>
    <s v="No"/>
  </r>
  <r>
    <n v="59"/>
    <x v="0"/>
    <n v="27.72"/>
    <n v="3"/>
    <x v="1"/>
    <x v="1"/>
    <n v="14001.1338"/>
    <x v="4"/>
    <x v="0"/>
    <s v="No"/>
  </r>
  <r>
    <n v="63"/>
    <x v="0"/>
    <n v="23.085000000000001"/>
    <n v="0"/>
    <x v="1"/>
    <x v="3"/>
    <n v="14451.835150000001"/>
    <x v="3"/>
    <x v="2"/>
    <s v="No"/>
  </r>
  <r>
    <n v="55"/>
    <x v="0"/>
    <n v="32.774999999999999"/>
    <n v="2"/>
    <x v="1"/>
    <x v="2"/>
    <n v="12268.632250000001"/>
    <x v="4"/>
    <x v="1"/>
    <s v="No"/>
  </r>
  <r>
    <n v="23"/>
    <x v="1"/>
    <n v="17.385000000000002"/>
    <n v="1"/>
    <x v="1"/>
    <x v="2"/>
    <n v="2775.1921499999999"/>
    <x v="0"/>
    <x v="3"/>
    <s v="No"/>
  </r>
  <r>
    <n v="31"/>
    <x v="1"/>
    <n v="36.299999999999997"/>
    <n v="2"/>
    <x v="0"/>
    <x v="0"/>
    <n v="38711"/>
    <x v="1"/>
    <x v="1"/>
    <s v="Yes"/>
  </r>
  <r>
    <n v="22"/>
    <x v="1"/>
    <n v="35.6"/>
    <n v="0"/>
    <x v="0"/>
    <x v="0"/>
    <n v="35585.576000000001"/>
    <x v="0"/>
    <x v="1"/>
    <s v="Yes"/>
  </r>
  <r>
    <n v="18"/>
    <x v="0"/>
    <n v="26.315000000000001"/>
    <n v="0"/>
    <x v="1"/>
    <x v="3"/>
    <n v="2198.1898500000002"/>
    <x v="0"/>
    <x v="0"/>
    <s v="No"/>
  </r>
  <r>
    <n v="19"/>
    <x v="0"/>
    <n v="28.6"/>
    <n v="5"/>
    <x v="1"/>
    <x v="0"/>
    <n v="4687.7969999999996"/>
    <x v="0"/>
    <x v="0"/>
    <s v="No"/>
  </r>
  <r>
    <n v="63"/>
    <x v="1"/>
    <n v="28.31"/>
    <n v="0"/>
    <x v="1"/>
    <x v="2"/>
    <n v="13770.097900000001"/>
    <x v="3"/>
    <x v="0"/>
    <s v="No"/>
  </r>
  <r>
    <n v="28"/>
    <x v="1"/>
    <n v="36.4"/>
    <n v="1"/>
    <x v="0"/>
    <x v="0"/>
    <n v="51194.559139999998"/>
    <x v="0"/>
    <x v="1"/>
    <s v="Yes"/>
  </r>
  <r>
    <n v="19"/>
    <x v="1"/>
    <n v="20.425000000000001"/>
    <n v="0"/>
    <x v="1"/>
    <x v="2"/>
    <n v="1625.4337499999999"/>
    <x v="0"/>
    <x v="2"/>
    <s v="No"/>
  </r>
  <r>
    <n v="62"/>
    <x v="0"/>
    <n v="32.965000000000003"/>
    <n v="3"/>
    <x v="1"/>
    <x v="2"/>
    <n v="15612.19335"/>
    <x v="3"/>
    <x v="1"/>
    <s v="No"/>
  </r>
  <r>
    <n v="26"/>
    <x v="1"/>
    <n v="20.8"/>
    <n v="0"/>
    <x v="1"/>
    <x v="0"/>
    <n v="2302.3000000000002"/>
    <x v="0"/>
    <x v="2"/>
    <s v="No"/>
  </r>
  <r>
    <n v="35"/>
    <x v="1"/>
    <n v="36.67"/>
    <n v="1"/>
    <x v="0"/>
    <x v="3"/>
    <n v="39774.276299999998"/>
    <x v="1"/>
    <x v="1"/>
    <s v="Yes"/>
  </r>
  <r>
    <n v="60"/>
    <x v="1"/>
    <n v="39.9"/>
    <n v="0"/>
    <x v="0"/>
    <x v="0"/>
    <n v="48173.360999999997"/>
    <x v="3"/>
    <x v="1"/>
    <s v="Yes"/>
  </r>
  <r>
    <n v="24"/>
    <x v="0"/>
    <n v="26.6"/>
    <n v="0"/>
    <x v="1"/>
    <x v="3"/>
    <n v="3046.0619999999999"/>
    <x v="0"/>
    <x v="0"/>
    <s v="No"/>
  </r>
  <r>
    <n v="31"/>
    <x v="0"/>
    <n v="36.630000000000003"/>
    <n v="2"/>
    <x v="1"/>
    <x v="1"/>
    <n v="4949.7587000000003"/>
    <x v="1"/>
    <x v="1"/>
    <s v="No"/>
  </r>
  <r>
    <n v="41"/>
    <x v="1"/>
    <n v="21.78"/>
    <n v="1"/>
    <x v="1"/>
    <x v="1"/>
    <n v="6272.4772000000003"/>
    <x v="2"/>
    <x v="2"/>
    <s v="No"/>
  </r>
  <r>
    <n v="37"/>
    <x v="0"/>
    <n v="30.8"/>
    <n v="2"/>
    <x v="1"/>
    <x v="1"/>
    <n v="6313.759"/>
    <x v="1"/>
    <x v="1"/>
    <s v="No"/>
  </r>
  <r>
    <n v="38"/>
    <x v="1"/>
    <n v="37.049999999999997"/>
    <n v="1"/>
    <x v="1"/>
    <x v="3"/>
    <n v="6079.6715000000004"/>
    <x v="1"/>
    <x v="1"/>
    <s v="No"/>
  </r>
  <r>
    <n v="55"/>
    <x v="1"/>
    <n v="37.299999999999997"/>
    <n v="0"/>
    <x v="1"/>
    <x v="0"/>
    <n v="20630.283510000001"/>
    <x v="4"/>
    <x v="1"/>
    <s v="Yes"/>
  </r>
  <r>
    <n v="18"/>
    <x v="0"/>
    <n v="38.664999999999999"/>
    <n v="2"/>
    <x v="1"/>
    <x v="3"/>
    <n v="3393.35635"/>
    <x v="0"/>
    <x v="1"/>
    <s v="No"/>
  </r>
  <r>
    <n v="28"/>
    <x v="0"/>
    <n v="34.770000000000003"/>
    <n v="0"/>
    <x v="1"/>
    <x v="2"/>
    <n v="3556.9223000000002"/>
    <x v="0"/>
    <x v="1"/>
    <s v="No"/>
  </r>
  <r>
    <n v="60"/>
    <x v="0"/>
    <n v="24.53"/>
    <n v="0"/>
    <x v="1"/>
    <x v="1"/>
    <n v="12629.896699999999"/>
    <x v="3"/>
    <x v="2"/>
    <s v="No"/>
  </r>
  <r>
    <n v="36"/>
    <x v="1"/>
    <n v="35.200000000000003"/>
    <n v="1"/>
    <x v="0"/>
    <x v="1"/>
    <n v="38709.175999999999"/>
    <x v="1"/>
    <x v="1"/>
    <s v="Yes"/>
  </r>
  <r>
    <n v="18"/>
    <x v="0"/>
    <n v="35.625"/>
    <n v="0"/>
    <x v="1"/>
    <x v="3"/>
    <n v="2211.1307499999998"/>
    <x v="0"/>
    <x v="1"/>
    <s v="No"/>
  </r>
  <r>
    <n v="21"/>
    <x v="0"/>
    <n v="33.630000000000003"/>
    <n v="2"/>
    <x v="1"/>
    <x v="2"/>
    <n v="3579.8287"/>
    <x v="0"/>
    <x v="1"/>
    <s v="No"/>
  </r>
  <r>
    <n v="48"/>
    <x v="1"/>
    <n v="28"/>
    <n v="1"/>
    <x v="0"/>
    <x v="0"/>
    <n v="23568.272000000001"/>
    <x v="2"/>
    <x v="0"/>
    <s v="Yes"/>
  </r>
  <r>
    <n v="36"/>
    <x v="1"/>
    <n v="34.43"/>
    <n v="0"/>
    <x v="0"/>
    <x v="1"/>
    <n v="37742.575700000001"/>
    <x v="1"/>
    <x v="1"/>
    <s v="Yes"/>
  </r>
  <r>
    <n v="40"/>
    <x v="0"/>
    <n v="28.69"/>
    <n v="3"/>
    <x v="1"/>
    <x v="2"/>
    <n v="8059.6791000000003"/>
    <x v="2"/>
    <x v="0"/>
    <s v="No"/>
  </r>
  <r>
    <n v="58"/>
    <x v="1"/>
    <n v="36.954999999999998"/>
    <n v="2"/>
    <x v="0"/>
    <x v="2"/>
    <n v="47496.494449999998"/>
    <x v="4"/>
    <x v="1"/>
    <s v="Yes"/>
  </r>
  <r>
    <n v="58"/>
    <x v="0"/>
    <n v="31.824999999999999"/>
    <n v="2"/>
    <x v="1"/>
    <x v="3"/>
    <n v="13607.36875"/>
    <x v="4"/>
    <x v="1"/>
    <s v="No"/>
  </r>
  <r>
    <n v="18"/>
    <x v="1"/>
    <n v="31.68"/>
    <n v="2"/>
    <x v="0"/>
    <x v="1"/>
    <n v="34303.167200000004"/>
    <x v="0"/>
    <x v="1"/>
    <s v="Yes"/>
  </r>
  <r>
    <n v="53"/>
    <x v="0"/>
    <n v="22.88"/>
    <n v="1"/>
    <x v="0"/>
    <x v="1"/>
    <n v="23244.790199999999"/>
    <x v="4"/>
    <x v="2"/>
    <s v="Yes"/>
  </r>
  <r>
    <n v="34"/>
    <x v="0"/>
    <n v="37.335000000000001"/>
    <n v="2"/>
    <x v="1"/>
    <x v="2"/>
    <n v="5989.5236500000001"/>
    <x v="1"/>
    <x v="1"/>
    <s v="No"/>
  </r>
  <r>
    <n v="43"/>
    <x v="1"/>
    <n v="27.36"/>
    <n v="3"/>
    <x v="1"/>
    <x v="3"/>
    <n v="8606.2173999999995"/>
    <x v="2"/>
    <x v="0"/>
    <s v="No"/>
  </r>
  <r>
    <n v="25"/>
    <x v="1"/>
    <n v="33.659999999999997"/>
    <n v="4"/>
    <x v="1"/>
    <x v="1"/>
    <n v="4504.6624000000002"/>
    <x v="0"/>
    <x v="1"/>
    <s v="No"/>
  </r>
  <r>
    <n v="64"/>
    <x v="1"/>
    <n v="24.7"/>
    <n v="1"/>
    <x v="1"/>
    <x v="2"/>
    <n v="30166.618170000002"/>
    <x v="3"/>
    <x v="2"/>
    <s v="Yes"/>
  </r>
  <r>
    <n v="28"/>
    <x v="0"/>
    <n v="25.934999999999999"/>
    <n v="1"/>
    <x v="1"/>
    <x v="2"/>
    <n v="4133.6416499999996"/>
    <x v="0"/>
    <x v="0"/>
    <s v="No"/>
  </r>
  <r>
    <n v="20"/>
    <x v="0"/>
    <n v="22.42"/>
    <n v="0"/>
    <x v="0"/>
    <x v="2"/>
    <n v="14711.7438"/>
    <x v="0"/>
    <x v="2"/>
    <s v="No"/>
  </r>
  <r>
    <n v="19"/>
    <x v="0"/>
    <n v="28.9"/>
    <n v="0"/>
    <x v="1"/>
    <x v="0"/>
    <n v="1743.2139999999999"/>
    <x v="0"/>
    <x v="0"/>
    <s v="No"/>
  </r>
  <r>
    <n v="61"/>
    <x v="0"/>
    <n v="39.1"/>
    <n v="2"/>
    <x v="1"/>
    <x v="0"/>
    <n v="14235.072"/>
    <x v="3"/>
    <x v="1"/>
    <s v="No"/>
  </r>
  <r>
    <n v="40"/>
    <x v="1"/>
    <n v="26.315000000000001"/>
    <n v="1"/>
    <x v="1"/>
    <x v="2"/>
    <n v="6389.3778499999999"/>
    <x v="2"/>
    <x v="0"/>
    <s v="No"/>
  </r>
  <r>
    <n v="40"/>
    <x v="0"/>
    <n v="36.19"/>
    <n v="0"/>
    <x v="1"/>
    <x v="1"/>
    <n v="5920.1040999999996"/>
    <x v="2"/>
    <x v="1"/>
    <s v="No"/>
  </r>
  <r>
    <n v="28"/>
    <x v="1"/>
    <n v="23.98"/>
    <n v="3"/>
    <x v="0"/>
    <x v="1"/>
    <n v="17663.144199999999"/>
    <x v="0"/>
    <x v="2"/>
    <s v="No"/>
  </r>
  <r>
    <n v="27"/>
    <x v="0"/>
    <n v="24.75"/>
    <n v="0"/>
    <x v="0"/>
    <x v="1"/>
    <n v="16577.779500000001"/>
    <x v="0"/>
    <x v="2"/>
    <s v="No"/>
  </r>
  <r>
    <n v="31"/>
    <x v="1"/>
    <n v="28.5"/>
    <n v="5"/>
    <x v="1"/>
    <x v="3"/>
    <n v="6799.4579999999996"/>
    <x v="1"/>
    <x v="0"/>
    <s v="No"/>
  </r>
  <r>
    <n v="53"/>
    <x v="0"/>
    <n v="28.1"/>
    <n v="3"/>
    <x v="1"/>
    <x v="0"/>
    <n v="11741.726000000001"/>
    <x v="4"/>
    <x v="0"/>
    <s v="No"/>
  </r>
  <r>
    <n v="58"/>
    <x v="1"/>
    <n v="32.01"/>
    <n v="1"/>
    <x v="1"/>
    <x v="1"/>
    <n v="11946.625899999999"/>
    <x v="4"/>
    <x v="1"/>
    <s v="No"/>
  </r>
  <r>
    <n v="44"/>
    <x v="1"/>
    <n v="27.4"/>
    <n v="2"/>
    <x v="1"/>
    <x v="0"/>
    <n v="7726.8540000000003"/>
    <x v="2"/>
    <x v="0"/>
    <s v="No"/>
  </r>
  <r>
    <n v="57"/>
    <x v="1"/>
    <n v="34.01"/>
    <n v="0"/>
    <x v="1"/>
    <x v="2"/>
    <n v="11356.660900000001"/>
    <x v="4"/>
    <x v="1"/>
    <s v="No"/>
  </r>
  <r>
    <n v="29"/>
    <x v="0"/>
    <n v="29.59"/>
    <n v="1"/>
    <x v="1"/>
    <x v="1"/>
    <n v="3947.4131000000002"/>
    <x v="0"/>
    <x v="0"/>
    <s v="No"/>
  </r>
  <r>
    <n v="21"/>
    <x v="1"/>
    <n v="35.53"/>
    <n v="0"/>
    <x v="1"/>
    <x v="1"/>
    <n v="1532.4697000000001"/>
    <x v="0"/>
    <x v="1"/>
    <s v="No"/>
  </r>
  <r>
    <n v="22"/>
    <x v="0"/>
    <n v="39.805"/>
    <n v="0"/>
    <x v="1"/>
    <x v="3"/>
    <n v="2755.0209500000001"/>
    <x v="0"/>
    <x v="1"/>
    <s v="No"/>
  </r>
  <r>
    <n v="41"/>
    <x v="0"/>
    <n v="32.965000000000003"/>
    <n v="0"/>
    <x v="1"/>
    <x v="2"/>
    <n v="6571.0243499999997"/>
    <x v="2"/>
    <x v="1"/>
    <s v="No"/>
  </r>
  <r>
    <n v="31"/>
    <x v="1"/>
    <n v="26.885000000000002"/>
    <n v="1"/>
    <x v="1"/>
    <x v="3"/>
    <n v="4441.2131499999996"/>
    <x v="1"/>
    <x v="0"/>
    <s v="No"/>
  </r>
  <r>
    <n v="45"/>
    <x v="0"/>
    <n v="38.284999999999997"/>
    <n v="0"/>
    <x v="1"/>
    <x v="3"/>
    <n v="7935.29115"/>
    <x v="2"/>
    <x v="1"/>
    <s v="No"/>
  </r>
  <r>
    <n v="22"/>
    <x v="1"/>
    <n v="37.619999999999997"/>
    <n v="1"/>
    <x v="0"/>
    <x v="1"/>
    <n v="37165.163800000002"/>
    <x v="0"/>
    <x v="1"/>
    <s v="Yes"/>
  </r>
  <r>
    <n v="48"/>
    <x v="0"/>
    <n v="41.23"/>
    <n v="4"/>
    <x v="1"/>
    <x v="2"/>
    <n v="11033.661700000001"/>
    <x v="2"/>
    <x v="1"/>
    <s v="No"/>
  </r>
  <r>
    <n v="37"/>
    <x v="0"/>
    <n v="34.799999999999997"/>
    <n v="2"/>
    <x v="0"/>
    <x v="0"/>
    <n v="39836.519"/>
    <x v="1"/>
    <x v="1"/>
    <s v="Yes"/>
  </r>
  <r>
    <n v="45"/>
    <x v="1"/>
    <n v="22.895"/>
    <n v="2"/>
    <x v="0"/>
    <x v="2"/>
    <n v="21098.554049999999"/>
    <x v="2"/>
    <x v="2"/>
    <s v="Yes"/>
  </r>
  <r>
    <n v="57"/>
    <x v="0"/>
    <n v="31.16"/>
    <n v="0"/>
    <x v="0"/>
    <x v="2"/>
    <n v="43578.939400000003"/>
    <x v="4"/>
    <x v="1"/>
    <s v="Yes"/>
  </r>
  <r>
    <n v="56"/>
    <x v="0"/>
    <n v="27.2"/>
    <n v="0"/>
    <x v="1"/>
    <x v="0"/>
    <n v="11073.175999999999"/>
    <x v="4"/>
    <x v="0"/>
    <s v="No"/>
  </r>
  <r>
    <n v="46"/>
    <x v="0"/>
    <n v="27.74"/>
    <n v="0"/>
    <x v="1"/>
    <x v="2"/>
    <n v="8026.6665999999996"/>
    <x v="2"/>
    <x v="0"/>
    <s v="No"/>
  </r>
  <r>
    <n v="55"/>
    <x v="0"/>
    <n v="26.98"/>
    <n v="0"/>
    <x v="1"/>
    <x v="2"/>
    <n v="11082.5772"/>
    <x v="4"/>
    <x v="0"/>
    <s v="No"/>
  </r>
  <r>
    <n v="21"/>
    <x v="0"/>
    <n v="39.49"/>
    <n v="0"/>
    <x v="1"/>
    <x v="1"/>
    <n v="2026.9740999999999"/>
    <x v="0"/>
    <x v="1"/>
    <s v="No"/>
  </r>
  <r>
    <n v="53"/>
    <x v="0"/>
    <n v="24.795000000000002"/>
    <n v="1"/>
    <x v="1"/>
    <x v="2"/>
    <n v="10942.13205"/>
    <x v="4"/>
    <x v="2"/>
    <s v="No"/>
  </r>
  <r>
    <n v="59"/>
    <x v="1"/>
    <n v="29.83"/>
    <n v="3"/>
    <x v="0"/>
    <x v="3"/>
    <n v="30184.936699999998"/>
    <x v="4"/>
    <x v="0"/>
    <s v="Yes"/>
  </r>
  <r>
    <n v="35"/>
    <x v="1"/>
    <n v="34.770000000000003"/>
    <n v="2"/>
    <x v="1"/>
    <x v="2"/>
    <n v="5729.0052999999998"/>
    <x v="1"/>
    <x v="1"/>
    <s v="No"/>
  </r>
  <r>
    <n v="64"/>
    <x v="0"/>
    <n v="31.3"/>
    <n v="2"/>
    <x v="0"/>
    <x v="0"/>
    <n v="47291.055"/>
    <x v="3"/>
    <x v="1"/>
    <s v="Yes"/>
  </r>
  <r>
    <n v="28"/>
    <x v="0"/>
    <n v="37.619999999999997"/>
    <n v="1"/>
    <x v="1"/>
    <x v="1"/>
    <n v="3766.8838000000001"/>
    <x v="0"/>
    <x v="1"/>
    <s v="No"/>
  </r>
  <r>
    <n v="54"/>
    <x v="0"/>
    <n v="30.8"/>
    <n v="3"/>
    <x v="1"/>
    <x v="0"/>
    <n v="12105.32"/>
    <x v="4"/>
    <x v="1"/>
    <s v="No"/>
  </r>
  <r>
    <n v="55"/>
    <x v="1"/>
    <n v="38.28"/>
    <n v="0"/>
    <x v="1"/>
    <x v="1"/>
    <n v="10226.2842"/>
    <x v="4"/>
    <x v="1"/>
    <s v="No"/>
  </r>
  <r>
    <n v="56"/>
    <x v="1"/>
    <n v="19.95"/>
    <n v="0"/>
    <x v="0"/>
    <x v="3"/>
    <n v="22412.648499999999"/>
    <x v="4"/>
    <x v="2"/>
    <s v="Yes"/>
  </r>
  <r>
    <n v="38"/>
    <x v="1"/>
    <n v="19.3"/>
    <n v="0"/>
    <x v="0"/>
    <x v="0"/>
    <n v="15820.699000000001"/>
    <x v="1"/>
    <x v="2"/>
    <s v="No"/>
  </r>
  <r>
    <n v="41"/>
    <x v="0"/>
    <n v="31.6"/>
    <n v="0"/>
    <x v="1"/>
    <x v="0"/>
    <n v="6186.1270000000004"/>
    <x v="2"/>
    <x v="1"/>
    <s v="No"/>
  </r>
  <r>
    <n v="30"/>
    <x v="1"/>
    <n v="25.46"/>
    <n v="0"/>
    <x v="1"/>
    <x v="3"/>
    <n v="3645.0893999999998"/>
    <x v="1"/>
    <x v="0"/>
    <s v="No"/>
  </r>
  <r>
    <n v="18"/>
    <x v="0"/>
    <n v="30.114999999999998"/>
    <n v="0"/>
    <x v="1"/>
    <x v="3"/>
    <n v="21344.846699999998"/>
    <x v="0"/>
    <x v="1"/>
    <s v="Yes"/>
  </r>
  <r>
    <n v="61"/>
    <x v="0"/>
    <n v="29.92"/>
    <n v="3"/>
    <x v="0"/>
    <x v="1"/>
    <n v="30942.191800000001"/>
    <x v="3"/>
    <x v="0"/>
    <s v="Yes"/>
  </r>
  <r>
    <n v="34"/>
    <x v="0"/>
    <n v="27.5"/>
    <n v="1"/>
    <x v="1"/>
    <x v="0"/>
    <n v="5003.8530000000001"/>
    <x v="1"/>
    <x v="0"/>
    <s v="No"/>
  </r>
  <r>
    <n v="20"/>
    <x v="1"/>
    <n v="28.024999999999999"/>
    <n v="1"/>
    <x v="0"/>
    <x v="2"/>
    <n v="17560.37975"/>
    <x v="0"/>
    <x v="0"/>
    <s v="No"/>
  </r>
  <r>
    <n v="19"/>
    <x v="0"/>
    <n v="28.4"/>
    <n v="1"/>
    <x v="1"/>
    <x v="0"/>
    <n v="2331.5189999999998"/>
    <x v="0"/>
    <x v="0"/>
    <s v="No"/>
  </r>
  <r>
    <n v="26"/>
    <x v="1"/>
    <n v="30.875"/>
    <n v="2"/>
    <x v="1"/>
    <x v="2"/>
    <n v="3877.3042500000001"/>
    <x v="0"/>
    <x v="1"/>
    <s v="No"/>
  </r>
  <r>
    <n v="29"/>
    <x v="1"/>
    <n v="27.94"/>
    <n v="0"/>
    <x v="1"/>
    <x v="1"/>
    <n v="2867.1196"/>
    <x v="0"/>
    <x v="0"/>
    <s v="No"/>
  </r>
  <r>
    <n v="63"/>
    <x v="1"/>
    <n v="35.090000000000003"/>
    <n v="0"/>
    <x v="0"/>
    <x v="1"/>
    <n v="47055.532099999997"/>
    <x v="3"/>
    <x v="1"/>
    <s v="Yes"/>
  </r>
  <r>
    <n v="54"/>
    <x v="1"/>
    <n v="33.630000000000003"/>
    <n v="1"/>
    <x v="1"/>
    <x v="2"/>
    <n v="10825.253699999999"/>
    <x v="4"/>
    <x v="1"/>
    <s v="No"/>
  </r>
  <r>
    <n v="55"/>
    <x v="0"/>
    <n v="29.7"/>
    <n v="2"/>
    <x v="1"/>
    <x v="0"/>
    <n v="11881.358"/>
    <x v="4"/>
    <x v="0"/>
    <s v="No"/>
  </r>
  <r>
    <n v="37"/>
    <x v="1"/>
    <n v="30.8"/>
    <n v="0"/>
    <x v="1"/>
    <x v="0"/>
    <n v="4646.759"/>
    <x v="1"/>
    <x v="1"/>
    <s v="No"/>
  </r>
  <r>
    <n v="21"/>
    <x v="0"/>
    <n v="35.72"/>
    <n v="0"/>
    <x v="1"/>
    <x v="2"/>
    <n v="2404.7338"/>
    <x v="0"/>
    <x v="1"/>
    <s v="No"/>
  </r>
  <r>
    <n v="52"/>
    <x v="1"/>
    <n v="32.204999999999998"/>
    <n v="3"/>
    <x v="1"/>
    <x v="3"/>
    <n v="11488.31695"/>
    <x v="4"/>
    <x v="1"/>
    <s v="No"/>
  </r>
  <r>
    <n v="60"/>
    <x v="1"/>
    <n v="28.594999999999999"/>
    <n v="0"/>
    <x v="1"/>
    <x v="3"/>
    <n v="30259.995559999999"/>
    <x v="3"/>
    <x v="0"/>
    <s v="Yes"/>
  </r>
  <r>
    <n v="58"/>
    <x v="1"/>
    <n v="49.06"/>
    <n v="0"/>
    <x v="1"/>
    <x v="1"/>
    <n v="11381.3254"/>
    <x v="4"/>
    <x v="1"/>
    <s v="No"/>
  </r>
  <r>
    <n v="29"/>
    <x v="0"/>
    <n v="27.94"/>
    <n v="1"/>
    <x v="0"/>
    <x v="1"/>
    <n v="19107.779600000002"/>
    <x v="0"/>
    <x v="0"/>
    <s v="No"/>
  </r>
  <r>
    <n v="49"/>
    <x v="0"/>
    <n v="27.17"/>
    <n v="0"/>
    <x v="1"/>
    <x v="1"/>
    <n v="8601.3292999999994"/>
    <x v="2"/>
    <x v="0"/>
    <s v="No"/>
  </r>
  <r>
    <n v="37"/>
    <x v="0"/>
    <n v="23.37"/>
    <n v="2"/>
    <x v="1"/>
    <x v="2"/>
    <n v="6686.4313000000002"/>
    <x v="1"/>
    <x v="2"/>
    <s v="No"/>
  </r>
  <r>
    <n v="44"/>
    <x v="1"/>
    <n v="37.1"/>
    <n v="2"/>
    <x v="1"/>
    <x v="0"/>
    <n v="7740.3370000000004"/>
    <x v="2"/>
    <x v="1"/>
    <s v="No"/>
  </r>
  <r>
    <n v="18"/>
    <x v="1"/>
    <n v="23.75"/>
    <n v="0"/>
    <x v="1"/>
    <x v="3"/>
    <n v="1705.6244999999999"/>
    <x v="0"/>
    <x v="2"/>
    <s v="No"/>
  </r>
  <r>
    <n v="20"/>
    <x v="0"/>
    <n v="28.975000000000001"/>
    <n v="0"/>
    <x v="1"/>
    <x v="2"/>
    <n v="2257.47525"/>
    <x v="0"/>
    <x v="0"/>
    <s v="No"/>
  </r>
  <r>
    <n v="44"/>
    <x v="1"/>
    <n v="31.35"/>
    <n v="1"/>
    <x v="0"/>
    <x v="3"/>
    <n v="39556.494500000001"/>
    <x v="2"/>
    <x v="1"/>
    <s v="Yes"/>
  </r>
  <r>
    <n v="47"/>
    <x v="0"/>
    <n v="33.914999999999999"/>
    <n v="3"/>
    <x v="1"/>
    <x v="2"/>
    <n v="10115.00885"/>
    <x v="2"/>
    <x v="1"/>
    <s v="No"/>
  </r>
  <r>
    <n v="26"/>
    <x v="0"/>
    <n v="28.785"/>
    <n v="0"/>
    <x v="1"/>
    <x v="3"/>
    <n v="3385.3991500000002"/>
    <x v="0"/>
    <x v="0"/>
    <s v="No"/>
  </r>
  <r>
    <n v="19"/>
    <x v="0"/>
    <n v="28.3"/>
    <n v="0"/>
    <x v="0"/>
    <x v="0"/>
    <n v="17081.080000000002"/>
    <x v="0"/>
    <x v="0"/>
    <s v="No"/>
  </r>
  <r>
    <n v="52"/>
    <x v="0"/>
    <n v="37.4"/>
    <n v="0"/>
    <x v="1"/>
    <x v="0"/>
    <n v="9634.5380000000005"/>
    <x v="4"/>
    <x v="1"/>
    <s v="No"/>
  </r>
  <r>
    <n v="32"/>
    <x v="0"/>
    <n v="17.765000000000001"/>
    <n v="2"/>
    <x v="0"/>
    <x v="2"/>
    <n v="32734.186300000001"/>
    <x v="1"/>
    <x v="3"/>
    <s v="Yes"/>
  </r>
  <r>
    <n v="38"/>
    <x v="1"/>
    <n v="34.700000000000003"/>
    <n v="2"/>
    <x v="1"/>
    <x v="0"/>
    <n v="6082.4049999999997"/>
    <x v="1"/>
    <x v="1"/>
    <s v="No"/>
  </r>
  <r>
    <n v="59"/>
    <x v="0"/>
    <n v="26.504999999999999"/>
    <n v="0"/>
    <x v="1"/>
    <x v="3"/>
    <n v="12815.444949999999"/>
    <x v="4"/>
    <x v="0"/>
    <s v="No"/>
  </r>
  <r>
    <n v="61"/>
    <x v="0"/>
    <n v="22.04"/>
    <n v="0"/>
    <x v="1"/>
    <x v="3"/>
    <n v="13616.3586"/>
    <x v="3"/>
    <x v="2"/>
    <s v="No"/>
  </r>
  <r>
    <n v="53"/>
    <x v="0"/>
    <n v="35.9"/>
    <n v="2"/>
    <x v="1"/>
    <x v="0"/>
    <n v="11163.567999999999"/>
    <x v="4"/>
    <x v="1"/>
    <s v="No"/>
  </r>
  <r>
    <n v="19"/>
    <x v="1"/>
    <n v="25.555"/>
    <n v="0"/>
    <x v="1"/>
    <x v="2"/>
    <n v="1632.5644500000001"/>
    <x v="0"/>
    <x v="0"/>
    <s v="No"/>
  </r>
  <r>
    <n v="20"/>
    <x v="0"/>
    <n v="28.785"/>
    <n v="0"/>
    <x v="1"/>
    <x v="3"/>
    <n v="2457.2111500000001"/>
    <x v="0"/>
    <x v="0"/>
    <s v="No"/>
  </r>
  <r>
    <n v="22"/>
    <x v="0"/>
    <n v="28.05"/>
    <n v="0"/>
    <x v="1"/>
    <x v="1"/>
    <n v="2155.6815000000001"/>
    <x v="0"/>
    <x v="0"/>
    <s v="No"/>
  </r>
  <r>
    <n v="19"/>
    <x v="1"/>
    <n v="34.1"/>
    <n v="0"/>
    <x v="1"/>
    <x v="0"/>
    <n v="1261.442"/>
    <x v="0"/>
    <x v="1"/>
    <s v="No"/>
  </r>
  <r>
    <n v="22"/>
    <x v="1"/>
    <n v="25.175000000000001"/>
    <n v="0"/>
    <x v="1"/>
    <x v="2"/>
    <n v="2045.68525"/>
    <x v="0"/>
    <x v="0"/>
    <s v="No"/>
  </r>
  <r>
    <n v="54"/>
    <x v="0"/>
    <n v="31.9"/>
    <n v="3"/>
    <x v="1"/>
    <x v="1"/>
    <n v="27322.73386"/>
    <x v="4"/>
    <x v="1"/>
    <s v="Yes"/>
  </r>
  <r>
    <n v="22"/>
    <x v="0"/>
    <n v="36"/>
    <n v="0"/>
    <x v="1"/>
    <x v="0"/>
    <n v="2166.732"/>
    <x v="0"/>
    <x v="1"/>
    <s v="No"/>
  </r>
  <r>
    <n v="34"/>
    <x v="1"/>
    <n v="22.42"/>
    <n v="2"/>
    <x v="1"/>
    <x v="3"/>
    <n v="27375.904780000001"/>
    <x v="1"/>
    <x v="2"/>
    <s v="Yes"/>
  </r>
  <r>
    <n v="26"/>
    <x v="1"/>
    <n v="32.49"/>
    <n v="1"/>
    <x v="1"/>
    <x v="3"/>
    <n v="3490.5491000000002"/>
    <x v="0"/>
    <x v="1"/>
    <s v="No"/>
  </r>
  <r>
    <n v="34"/>
    <x v="1"/>
    <n v="25.3"/>
    <n v="2"/>
    <x v="0"/>
    <x v="1"/>
    <n v="18972.494999999999"/>
    <x v="1"/>
    <x v="0"/>
    <s v="No"/>
  </r>
  <r>
    <n v="29"/>
    <x v="1"/>
    <n v="29.734999999999999"/>
    <n v="2"/>
    <x v="1"/>
    <x v="2"/>
    <n v="18157.876"/>
    <x v="0"/>
    <x v="0"/>
    <s v="No"/>
  </r>
  <r>
    <n v="30"/>
    <x v="1"/>
    <n v="28.69"/>
    <n v="3"/>
    <x v="0"/>
    <x v="2"/>
    <n v="20745.989099999999"/>
    <x v="1"/>
    <x v="0"/>
    <s v="Yes"/>
  </r>
  <r>
    <n v="29"/>
    <x v="0"/>
    <n v="38.83"/>
    <n v="3"/>
    <x v="1"/>
    <x v="1"/>
    <n v="5138.2566999999999"/>
    <x v="0"/>
    <x v="1"/>
    <s v="No"/>
  </r>
  <r>
    <n v="46"/>
    <x v="1"/>
    <n v="30.495000000000001"/>
    <n v="3"/>
    <x v="0"/>
    <x v="2"/>
    <n v="40720.551050000002"/>
    <x v="2"/>
    <x v="1"/>
    <s v="Yes"/>
  </r>
  <r>
    <n v="51"/>
    <x v="0"/>
    <n v="37.729999999999997"/>
    <n v="1"/>
    <x v="1"/>
    <x v="1"/>
    <n v="9877.6077000000005"/>
    <x v="4"/>
    <x v="1"/>
    <s v="No"/>
  </r>
  <r>
    <n v="53"/>
    <x v="0"/>
    <n v="37.43"/>
    <n v="1"/>
    <x v="1"/>
    <x v="2"/>
    <n v="10959.6947"/>
    <x v="4"/>
    <x v="1"/>
    <s v="No"/>
  </r>
  <r>
    <n v="19"/>
    <x v="1"/>
    <n v="28.4"/>
    <n v="1"/>
    <x v="1"/>
    <x v="0"/>
    <n v="1842.519"/>
    <x v="0"/>
    <x v="0"/>
    <s v="No"/>
  </r>
  <r>
    <n v="35"/>
    <x v="1"/>
    <n v="24.13"/>
    <n v="1"/>
    <x v="1"/>
    <x v="2"/>
    <n v="5125.2156999999997"/>
    <x v="1"/>
    <x v="2"/>
    <s v="No"/>
  </r>
  <r>
    <n v="48"/>
    <x v="1"/>
    <n v="29.7"/>
    <n v="0"/>
    <x v="1"/>
    <x v="1"/>
    <n v="7789.6350000000002"/>
    <x v="2"/>
    <x v="0"/>
    <s v="No"/>
  </r>
  <r>
    <n v="32"/>
    <x v="0"/>
    <n v="37.145000000000003"/>
    <n v="3"/>
    <x v="1"/>
    <x v="3"/>
    <n v="6334.3435499999996"/>
    <x v="1"/>
    <x v="1"/>
    <s v="No"/>
  </r>
  <r>
    <n v="42"/>
    <x v="0"/>
    <n v="23.37"/>
    <n v="0"/>
    <x v="0"/>
    <x v="3"/>
    <n v="19964.746299999999"/>
    <x v="2"/>
    <x v="2"/>
    <s v="No"/>
  </r>
  <r>
    <n v="40"/>
    <x v="0"/>
    <n v="25.46"/>
    <n v="1"/>
    <x v="1"/>
    <x v="3"/>
    <n v="7077.1894000000002"/>
    <x v="2"/>
    <x v="0"/>
    <s v="No"/>
  </r>
  <r>
    <n v="44"/>
    <x v="1"/>
    <n v="39.520000000000003"/>
    <n v="0"/>
    <x v="1"/>
    <x v="2"/>
    <n v="6948.7007999999996"/>
    <x v="2"/>
    <x v="1"/>
    <s v="No"/>
  </r>
  <r>
    <n v="48"/>
    <x v="1"/>
    <n v="24.42"/>
    <n v="0"/>
    <x v="0"/>
    <x v="1"/>
    <n v="21223.675800000001"/>
    <x v="2"/>
    <x v="2"/>
    <s v="Yes"/>
  </r>
  <r>
    <n v="18"/>
    <x v="1"/>
    <n v="25.175000000000001"/>
    <n v="0"/>
    <x v="0"/>
    <x v="3"/>
    <n v="15518.180249999999"/>
    <x v="0"/>
    <x v="0"/>
    <s v="No"/>
  </r>
  <r>
    <n v="30"/>
    <x v="1"/>
    <n v="35.53"/>
    <n v="0"/>
    <x v="0"/>
    <x v="1"/>
    <n v="36950.256699999998"/>
    <x v="1"/>
    <x v="1"/>
    <s v="Yes"/>
  </r>
  <r>
    <n v="50"/>
    <x v="0"/>
    <n v="27.83"/>
    <n v="3"/>
    <x v="1"/>
    <x v="1"/>
    <n v="19749.383379999999"/>
    <x v="4"/>
    <x v="0"/>
    <s v="No"/>
  </r>
  <r>
    <n v="42"/>
    <x v="0"/>
    <n v="26.6"/>
    <n v="0"/>
    <x v="0"/>
    <x v="2"/>
    <n v="21348.705999999998"/>
    <x v="2"/>
    <x v="0"/>
    <s v="Yes"/>
  </r>
  <r>
    <n v="18"/>
    <x v="0"/>
    <n v="36.85"/>
    <n v="0"/>
    <x v="0"/>
    <x v="1"/>
    <n v="36149.483500000002"/>
    <x v="0"/>
    <x v="1"/>
    <s v="Yes"/>
  </r>
  <r>
    <n v="54"/>
    <x v="1"/>
    <n v="39.6"/>
    <n v="1"/>
    <x v="1"/>
    <x v="0"/>
    <n v="10450.552"/>
    <x v="4"/>
    <x v="1"/>
    <s v="No"/>
  </r>
  <r>
    <n v="32"/>
    <x v="0"/>
    <n v="29.8"/>
    <n v="2"/>
    <x v="1"/>
    <x v="0"/>
    <n v="5152.134"/>
    <x v="1"/>
    <x v="0"/>
    <s v="No"/>
  </r>
  <r>
    <n v="37"/>
    <x v="1"/>
    <n v="29.64"/>
    <n v="0"/>
    <x v="1"/>
    <x v="2"/>
    <n v="5028.1466"/>
    <x v="1"/>
    <x v="0"/>
    <s v="No"/>
  </r>
  <r>
    <n v="47"/>
    <x v="1"/>
    <n v="28.215"/>
    <n v="4"/>
    <x v="1"/>
    <x v="3"/>
    <n v="10407.085849999999"/>
    <x v="2"/>
    <x v="0"/>
    <s v="No"/>
  </r>
  <r>
    <n v="20"/>
    <x v="0"/>
    <n v="37"/>
    <n v="5"/>
    <x v="1"/>
    <x v="0"/>
    <n v="4830.63"/>
    <x v="0"/>
    <x v="1"/>
    <s v="No"/>
  </r>
  <r>
    <n v="32"/>
    <x v="0"/>
    <n v="33.155000000000001"/>
    <n v="3"/>
    <x v="1"/>
    <x v="2"/>
    <n v="6128.79745"/>
    <x v="1"/>
    <x v="1"/>
    <s v="No"/>
  </r>
  <r>
    <n v="19"/>
    <x v="0"/>
    <n v="31.824999999999999"/>
    <n v="1"/>
    <x v="1"/>
    <x v="2"/>
    <n v="2719.2797500000001"/>
    <x v="0"/>
    <x v="1"/>
    <s v="No"/>
  </r>
  <r>
    <n v="27"/>
    <x v="1"/>
    <n v="18.905000000000001"/>
    <n v="3"/>
    <x v="1"/>
    <x v="3"/>
    <n v="4827.9049500000001"/>
    <x v="0"/>
    <x v="2"/>
    <s v="No"/>
  </r>
  <r>
    <n v="63"/>
    <x v="1"/>
    <n v="41.47"/>
    <n v="0"/>
    <x v="1"/>
    <x v="1"/>
    <n v="13405.390299999999"/>
    <x v="3"/>
    <x v="1"/>
    <s v="No"/>
  </r>
  <r>
    <n v="49"/>
    <x v="1"/>
    <n v="30.3"/>
    <n v="0"/>
    <x v="1"/>
    <x v="0"/>
    <n v="8116.68"/>
    <x v="2"/>
    <x v="1"/>
    <s v="No"/>
  </r>
  <r>
    <n v="18"/>
    <x v="1"/>
    <n v="15.96"/>
    <n v="0"/>
    <x v="1"/>
    <x v="3"/>
    <n v="1694.7963999999999"/>
    <x v="0"/>
    <x v="3"/>
    <s v="No"/>
  </r>
  <r>
    <n v="35"/>
    <x v="0"/>
    <n v="34.799999999999997"/>
    <n v="1"/>
    <x v="1"/>
    <x v="0"/>
    <n v="5246.0469999999996"/>
    <x v="1"/>
    <x v="1"/>
    <s v="No"/>
  </r>
  <r>
    <n v="24"/>
    <x v="0"/>
    <n v="33.344999999999999"/>
    <n v="0"/>
    <x v="1"/>
    <x v="2"/>
    <n v="2855.4375500000001"/>
    <x v="0"/>
    <x v="1"/>
    <s v="No"/>
  </r>
  <r>
    <n v="63"/>
    <x v="0"/>
    <n v="37.700000000000003"/>
    <n v="0"/>
    <x v="0"/>
    <x v="0"/>
    <n v="48824.45"/>
    <x v="3"/>
    <x v="1"/>
    <s v="Yes"/>
  </r>
  <r>
    <n v="38"/>
    <x v="1"/>
    <n v="27.835000000000001"/>
    <n v="2"/>
    <x v="1"/>
    <x v="2"/>
    <n v="6455.86265"/>
    <x v="1"/>
    <x v="0"/>
    <s v="No"/>
  </r>
  <r>
    <n v="54"/>
    <x v="1"/>
    <n v="29.2"/>
    <n v="1"/>
    <x v="1"/>
    <x v="0"/>
    <n v="10436.096"/>
    <x v="4"/>
    <x v="0"/>
    <s v="No"/>
  </r>
  <r>
    <n v="46"/>
    <x v="0"/>
    <n v="28.9"/>
    <n v="2"/>
    <x v="1"/>
    <x v="0"/>
    <n v="8823.2790000000005"/>
    <x v="2"/>
    <x v="0"/>
    <s v="No"/>
  </r>
  <r>
    <n v="41"/>
    <x v="0"/>
    <n v="33.155000000000001"/>
    <n v="3"/>
    <x v="1"/>
    <x v="3"/>
    <n v="8538.28845"/>
    <x v="2"/>
    <x v="1"/>
    <s v="No"/>
  </r>
  <r>
    <n v="58"/>
    <x v="1"/>
    <n v="28.594999999999999"/>
    <n v="0"/>
    <x v="1"/>
    <x v="2"/>
    <n v="11735.87905"/>
    <x v="4"/>
    <x v="0"/>
    <s v="No"/>
  </r>
  <r>
    <n v="18"/>
    <x v="0"/>
    <n v="38.28"/>
    <n v="0"/>
    <x v="1"/>
    <x v="1"/>
    <n v="1631.8212000000001"/>
    <x v="0"/>
    <x v="1"/>
    <s v="No"/>
  </r>
  <r>
    <n v="22"/>
    <x v="1"/>
    <n v="19.95"/>
    <n v="3"/>
    <x v="1"/>
    <x v="3"/>
    <n v="4005.4225000000001"/>
    <x v="0"/>
    <x v="2"/>
    <s v="No"/>
  </r>
  <r>
    <n v="44"/>
    <x v="0"/>
    <n v="26.41"/>
    <n v="0"/>
    <x v="1"/>
    <x v="2"/>
    <n v="7419.4778999999999"/>
    <x v="2"/>
    <x v="0"/>
    <s v="No"/>
  </r>
  <r>
    <n v="44"/>
    <x v="1"/>
    <n v="30.69"/>
    <n v="2"/>
    <x v="1"/>
    <x v="1"/>
    <n v="7731.4270999999999"/>
    <x v="2"/>
    <x v="1"/>
    <s v="No"/>
  </r>
  <r>
    <n v="36"/>
    <x v="1"/>
    <n v="41.895000000000003"/>
    <n v="3"/>
    <x v="0"/>
    <x v="3"/>
    <n v="43753.337050000002"/>
    <x v="1"/>
    <x v="1"/>
    <s v="Yes"/>
  </r>
  <r>
    <n v="26"/>
    <x v="0"/>
    <n v="29.92"/>
    <n v="2"/>
    <x v="1"/>
    <x v="1"/>
    <n v="3981.9767999999999"/>
    <x v="0"/>
    <x v="0"/>
    <s v="No"/>
  </r>
  <r>
    <n v="30"/>
    <x v="0"/>
    <n v="30.9"/>
    <n v="3"/>
    <x v="1"/>
    <x v="0"/>
    <n v="5325.6509999999998"/>
    <x v="1"/>
    <x v="1"/>
    <s v="No"/>
  </r>
  <r>
    <n v="41"/>
    <x v="0"/>
    <n v="32.200000000000003"/>
    <n v="1"/>
    <x v="1"/>
    <x v="0"/>
    <n v="6775.9610000000002"/>
    <x v="2"/>
    <x v="1"/>
    <s v="No"/>
  </r>
  <r>
    <n v="29"/>
    <x v="0"/>
    <n v="32.11"/>
    <n v="2"/>
    <x v="1"/>
    <x v="2"/>
    <n v="4922.9159"/>
    <x v="0"/>
    <x v="1"/>
    <s v="No"/>
  </r>
  <r>
    <n v="61"/>
    <x v="1"/>
    <n v="31.57"/>
    <n v="0"/>
    <x v="1"/>
    <x v="1"/>
    <n v="12557.605299999999"/>
    <x v="3"/>
    <x v="1"/>
    <s v="No"/>
  </r>
  <r>
    <n v="36"/>
    <x v="0"/>
    <n v="26.2"/>
    <n v="0"/>
    <x v="1"/>
    <x v="0"/>
    <n v="4883.866"/>
    <x v="1"/>
    <x v="0"/>
    <s v="No"/>
  </r>
  <r>
    <n v="25"/>
    <x v="1"/>
    <n v="25.74"/>
    <n v="0"/>
    <x v="1"/>
    <x v="1"/>
    <n v="2137.6536000000001"/>
    <x v="0"/>
    <x v="0"/>
    <s v="No"/>
  </r>
  <r>
    <n v="56"/>
    <x v="0"/>
    <n v="26.6"/>
    <n v="1"/>
    <x v="1"/>
    <x v="2"/>
    <n v="12044.342000000001"/>
    <x v="4"/>
    <x v="0"/>
    <s v="No"/>
  </r>
  <r>
    <n v="18"/>
    <x v="1"/>
    <n v="34.43"/>
    <n v="0"/>
    <x v="1"/>
    <x v="1"/>
    <n v="1137.4697000000001"/>
    <x v="0"/>
    <x v="1"/>
    <s v="No"/>
  </r>
  <r>
    <n v="19"/>
    <x v="1"/>
    <n v="30.59"/>
    <n v="0"/>
    <x v="1"/>
    <x v="2"/>
    <n v="1639.5631000000001"/>
    <x v="0"/>
    <x v="1"/>
    <s v="No"/>
  </r>
  <r>
    <n v="39"/>
    <x v="0"/>
    <n v="32.799999999999997"/>
    <n v="0"/>
    <x v="1"/>
    <x v="0"/>
    <n v="5649.7150000000001"/>
    <x v="1"/>
    <x v="1"/>
    <s v="No"/>
  </r>
  <r>
    <n v="45"/>
    <x v="0"/>
    <n v="28.6"/>
    <n v="2"/>
    <x v="1"/>
    <x v="1"/>
    <n v="8516.8289999999997"/>
    <x v="2"/>
    <x v="0"/>
    <s v="No"/>
  </r>
  <r>
    <n v="51"/>
    <x v="0"/>
    <n v="18.05"/>
    <n v="0"/>
    <x v="1"/>
    <x v="2"/>
    <n v="9644.2525000000005"/>
    <x v="4"/>
    <x v="3"/>
    <s v="No"/>
  </r>
  <r>
    <n v="64"/>
    <x v="0"/>
    <n v="39.33"/>
    <n v="0"/>
    <x v="1"/>
    <x v="3"/>
    <n v="14901.5167"/>
    <x v="3"/>
    <x v="1"/>
    <s v="No"/>
  </r>
  <r>
    <n v="19"/>
    <x v="0"/>
    <n v="32.11"/>
    <n v="0"/>
    <x v="1"/>
    <x v="2"/>
    <n v="2130.6759000000002"/>
    <x v="0"/>
    <x v="1"/>
    <s v="No"/>
  </r>
  <r>
    <n v="48"/>
    <x v="0"/>
    <n v="32.229999999999997"/>
    <n v="1"/>
    <x v="1"/>
    <x v="1"/>
    <n v="8871.1517000000003"/>
    <x v="2"/>
    <x v="1"/>
    <s v="No"/>
  </r>
  <r>
    <n v="60"/>
    <x v="0"/>
    <n v="24.035"/>
    <n v="0"/>
    <x v="1"/>
    <x v="2"/>
    <n v="13012.20865"/>
    <x v="3"/>
    <x v="2"/>
    <s v="No"/>
  </r>
  <r>
    <n v="27"/>
    <x v="0"/>
    <n v="36.08"/>
    <n v="0"/>
    <x v="0"/>
    <x v="1"/>
    <n v="37133.898200000003"/>
    <x v="0"/>
    <x v="1"/>
    <s v="Yes"/>
  </r>
  <r>
    <n v="46"/>
    <x v="1"/>
    <n v="22.3"/>
    <n v="0"/>
    <x v="1"/>
    <x v="0"/>
    <n v="7147.1049999999996"/>
    <x v="2"/>
    <x v="2"/>
    <s v="No"/>
  </r>
  <r>
    <n v="28"/>
    <x v="0"/>
    <n v="28.88"/>
    <n v="1"/>
    <x v="1"/>
    <x v="3"/>
    <n v="4337.7352000000001"/>
    <x v="0"/>
    <x v="0"/>
    <s v="No"/>
  </r>
  <r>
    <n v="59"/>
    <x v="1"/>
    <n v="26.4"/>
    <n v="0"/>
    <x v="1"/>
    <x v="1"/>
    <n v="11743.299000000001"/>
    <x v="4"/>
    <x v="0"/>
    <s v="No"/>
  </r>
  <r>
    <n v="35"/>
    <x v="1"/>
    <n v="27.74"/>
    <n v="2"/>
    <x v="0"/>
    <x v="3"/>
    <n v="20984.0936"/>
    <x v="1"/>
    <x v="0"/>
    <s v="Yes"/>
  </r>
  <r>
    <n v="63"/>
    <x v="0"/>
    <n v="31.8"/>
    <n v="0"/>
    <x v="1"/>
    <x v="0"/>
    <n v="13880.949000000001"/>
    <x v="3"/>
    <x v="1"/>
    <s v="No"/>
  </r>
  <r>
    <n v="40"/>
    <x v="1"/>
    <n v="41.23"/>
    <n v="1"/>
    <x v="1"/>
    <x v="3"/>
    <n v="6610.1097"/>
    <x v="2"/>
    <x v="1"/>
    <s v="No"/>
  </r>
  <r>
    <n v="20"/>
    <x v="1"/>
    <n v="33"/>
    <n v="1"/>
    <x v="1"/>
    <x v="0"/>
    <n v="1980.07"/>
    <x v="0"/>
    <x v="1"/>
    <s v="No"/>
  </r>
  <r>
    <n v="40"/>
    <x v="1"/>
    <n v="30.875"/>
    <n v="4"/>
    <x v="1"/>
    <x v="2"/>
    <n v="8162.7162500000004"/>
    <x v="2"/>
    <x v="1"/>
    <s v="No"/>
  </r>
  <r>
    <n v="24"/>
    <x v="1"/>
    <n v="28.5"/>
    <n v="2"/>
    <x v="1"/>
    <x v="2"/>
    <n v="3537.703"/>
    <x v="0"/>
    <x v="0"/>
    <s v="No"/>
  </r>
  <r>
    <n v="34"/>
    <x v="0"/>
    <n v="26.73"/>
    <n v="1"/>
    <x v="1"/>
    <x v="1"/>
    <n v="5002.7826999999997"/>
    <x v="1"/>
    <x v="0"/>
    <s v="No"/>
  </r>
  <r>
    <n v="45"/>
    <x v="0"/>
    <n v="30.9"/>
    <n v="2"/>
    <x v="1"/>
    <x v="0"/>
    <n v="8520.0259999999998"/>
    <x v="2"/>
    <x v="1"/>
    <s v="No"/>
  </r>
  <r>
    <n v="41"/>
    <x v="0"/>
    <n v="37.1"/>
    <n v="2"/>
    <x v="1"/>
    <x v="0"/>
    <n v="7371.7719999999999"/>
    <x v="2"/>
    <x v="1"/>
    <s v="No"/>
  </r>
  <r>
    <n v="53"/>
    <x v="0"/>
    <n v="26.6"/>
    <n v="0"/>
    <x v="1"/>
    <x v="2"/>
    <n v="10355.641"/>
    <x v="4"/>
    <x v="0"/>
    <s v="No"/>
  </r>
  <r>
    <n v="27"/>
    <x v="1"/>
    <n v="23.1"/>
    <n v="0"/>
    <x v="1"/>
    <x v="1"/>
    <n v="2483.7359999999999"/>
    <x v="0"/>
    <x v="2"/>
    <s v="No"/>
  </r>
  <r>
    <n v="26"/>
    <x v="0"/>
    <n v="29.92"/>
    <n v="1"/>
    <x v="1"/>
    <x v="1"/>
    <n v="3392.9767999999999"/>
    <x v="0"/>
    <x v="0"/>
    <s v="No"/>
  </r>
  <r>
    <n v="24"/>
    <x v="0"/>
    <n v="23.21"/>
    <n v="0"/>
    <x v="1"/>
    <x v="1"/>
    <n v="25081.76784"/>
    <x v="0"/>
    <x v="2"/>
    <s v="Yes"/>
  </r>
  <r>
    <n v="34"/>
    <x v="0"/>
    <n v="33.700000000000003"/>
    <n v="1"/>
    <x v="1"/>
    <x v="0"/>
    <n v="5012.4709999999995"/>
    <x v="1"/>
    <x v="1"/>
    <s v="No"/>
  </r>
  <r>
    <n v="53"/>
    <x v="0"/>
    <n v="33.25"/>
    <n v="0"/>
    <x v="1"/>
    <x v="3"/>
    <n v="10564.8845"/>
    <x v="4"/>
    <x v="1"/>
    <s v="No"/>
  </r>
  <r>
    <n v="32"/>
    <x v="1"/>
    <n v="30.8"/>
    <n v="3"/>
    <x v="1"/>
    <x v="0"/>
    <n v="5253.5240000000003"/>
    <x v="1"/>
    <x v="1"/>
    <s v="No"/>
  </r>
  <r>
    <n v="19"/>
    <x v="1"/>
    <n v="34.799999999999997"/>
    <n v="0"/>
    <x v="0"/>
    <x v="0"/>
    <n v="34779.614999999998"/>
    <x v="0"/>
    <x v="1"/>
    <s v="Yes"/>
  </r>
  <r>
    <n v="42"/>
    <x v="1"/>
    <n v="24.64"/>
    <n v="0"/>
    <x v="0"/>
    <x v="1"/>
    <n v="19515.5416"/>
    <x v="2"/>
    <x v="2"/>
    <s v="No"/>
  </r>
  <r>
    <n v="55"/>
    <x v="1"/>
    <n v="33.880000000000003"/>
    <n v="3"/>
    <x v="1"/>
    <x v="1"/>
    <n v="11987.1682"/>
    <x v="4"/>
    <x v="1"/>
    <s v="No"/>
  </r>
  <r>
    <n v="28"/>
    <x v="1"/>
    <n v="38.06"/>
    <n v="0"/>
    <x v="1"/>
    <x v="1"/>
    <n v="2689.4953999999998"/>
    <x v="0"/>
    <x v="1"/>
    <s v="No"/>
  </r>
  <r>
    <n v="58"/>
    <x v="0"/>
    <n v="41.91"/>
    <n v="0"/>
    <x v="1"/>
    <x v="1"/>
    <n v="24227.337240000001"/>
    <x v="4"/>
    <x v="1"/>
    <s v="Yes"/>
  </r>
  <r>
    <n v="41"/>
    <x v="0"/>
    <n v="31.635000000000002"/>
    <n v="1"/>
    <x v="1"/>
    <x v="3"/>
    <n v="7358.1756500000001"/>
    <x v="2"/>
    <x v="1"/>
    <s v="No"/>
  </r>
  <r>
    <n v="47"/>
    <x v="1"/>
    <n v="25.46"/>
    <n v="2"/>
    <x v="1"/>
    <x v="3"/>
    <n v="9225.2564000000002"/>
    <x v="2"/>
    <x v="0"/>
    <s v="No"/>
  </r>
  <r>
    <n v="42"/>
    <x v="0"/>
    <n v="36.195"/>
    <n v="1"/>
    <x v="1"/>
    <x v="2"/>
    <n v="7443.6430499999997"/>
    <x v="2"/>
    <x v="1"/>
    <s v="No"/>
  </r>
  <r>
    <n v="59"/>
    <x v="0"/>
    <n v="27.83"/>
    <n v="3"/>
    <x v="1"/>
    <x v="1"/>
    <n v="14001.286700000001"/>
    <x v="4"/>
    <x v="0"/>
    <s v="No"/>
  </r>
  <r>
    <n v="19"/>
    <x v="0"/>
    <n v="17.8"/>
    <n v="0"/>
    <x v="1"/>
    <x v="0"/>
    <n v="1727.7850000000001"/>
    <x v="0"/>
    <x v="3"/>
    <s v="No"/>
  </r>
  <r>
    <n v="59"/>
    <x v="1"/>
    <n v="27.5"/>
    <n v="1"/>
    <x v="1"/>
    <x v="0"/>
    <n v="12333.828"/>
    <x v="4"/>
    <x v="0"/>
    <s v="No"/>
  </r>
  <r>
    <n v="39"/>
    <x v="1"/>
    <n v="24.51"/>
    <n v="2"/>
    <x v="1"/>
    <x v="2"/>
    <n v="6710.1918999999998"/>
    <x v="1"/>
    <x v="2"/>
    <s v="No"/>
  </r>
  <r>
    <n v="40"/>
    <x v="0"/>
    <n v="22.22"/>
    <n v="2"/>
    <x v="0"/>
    <x v="1"/>
    <n v="19444.265800000001"/>
    <x v="2"/>
    <x v="2"/>
    <s v="No"/>
  </r>
  <r>
    <n v="18"/>
    <x v="0"/>
    <n v="26.73"/>
    <n v="0"/>
    <x v="1"/>
    <x v="1"/>
    <n v="1615.7666999999999"/>
    <x v="0"/>
    <x v="0"/>
    <s v="No"/>
  </r>
  <r>
    <n v="31"/>
    <x v="1"/>
    <n v="38.39"/>
    <n v="2"/>
    <x v="1"/>
    <x v="1"/>
    <n v="4463.2051000000001"/>
    <x v="1"/>
    <x v="1"/>
    <s v="No"/>
  </r>
  <r>
    <n v="19"/>
    <x v="1"/>
    <n v="29.07"/>
    <n v="0"/>
    <x v="0"/>
    <x v="2"/>
    <n v="17352.6803"/>
    <x v="0"/>
    <x v="0"/>
    <s v="No"/>
  </r>
  <r>
    <n v="44"/>
    <x v="1"/>
    <n v="38.06"/>
    <n v="1"/>
    <x v="1"/>
    <x v="1"/>
    <n v="7152.6714000000002"/>
    <x v="2"/>
    <x v="1"/>
    <s v="No"/>
  </r>
  <r>
    <n v="23"/>
    <x v="0"/>
    <n v="36.67"/>
    <n v="2"/>
    <x v="0"/>
    <x v="3"/>
    <n v="38511.628299999997"/>
    <x v="0"/>
    <x v="1"/>
    <s v="Yes"/>
  </r>
  <r>
    <n v="33"/>
    <x v="0"/>
    <n v="22.135000000000002"/>
    <n v="1"/>
    <x v="1"/>
    <x v="3"/>
    <n v="5354.0746499999996"/>
    <x v="1"/>
    <x v="2"/>
    <s v="No"/>
  </r>
  <r>
    <n v="55"/>
    <x v="0"/>
    <n v="26.8"/>
    <n v="1"/>
    <x v="1"/>
    <x v="0"/>
    <n v="35160.134570000002"/>
    <x v="4"/>
    <x v="0"/>
    <s v="Yes"/>
  </r>
  <r>
    <n v="40"/>
    <x v="1"/>
    <n v="35.299999999999997"/>
    <n v="3"/>
    <x v="1"/>
    <x v="0"/>
    <n v="7196.8670000000002"/>
    <x v="2"/>
    <x v="1"/>
    <s v="No"/>
  </r>
  <r>
    <n v="63"/>
    <x v="0"/>
    <n v="27.74"/>
    <n v="0"/>
    <x v="0"/>
    <x v="3"/>
    <n v="29523.1656"/>
    <x v="3"/>
    <x v="0"/>
    <s v="Yes"/>
  </r>
  <r>
    <n v="54"/>
    <x v="1"/>
    <n v="30.02"/>
    <n v="0"/>
    <x v="1"/>
    <x v="2"/>
    <n v="24476.478510000001"/>
    <x v="4"/>
    <x v="1"/>
    <s v="Yes"/>
  </r>
  <r>
    <n v="60"/>
    <x v="0"/>
    <n v="38.06"/>
    <n v="0"/>
    <x v="1"/>
    <x v="1"/>
    <n v="12648.7034"/>
    <x v="3"/>
    <x v="1"/>
    <s v="No"/>
  </r>
  <r>
    <n v="24"/>
    <x v="1"/>
    <n v="35.86"/>
    <n v="0"/>
    <x v="1"/>
    <x v="1"/>
    <n v="1986.9333999999999"/>
    <x v="0"/>
    <x v="1"/>
    <s v="No"/>
  </r>
  <r>
    <n v="19"/>
    <x v="1"/>
    <n v="20.9"/>
    <n v="1"/>
    <x v="1"/>
    <x v="0"/>
    <n v="1832.0940000000001"/>
    <x v="0"/>
    <x v="2"/>
    <s v="No"/>
  </r>
  <r>
    <n v="29"/>
    <x v="1"/>
    <n v="28.975000000000001"/>
    <n v="1"/>
    <x v="1"/>
    <x v="3"/>
    <n v="4040.55825"/>
    <x v="0"/>
    <x v="0"/>
    <s v="No"/>
  </r>
  <r>
    <n v="18"/>
    <x v="1"/>
    <n v="17.29"/>
    <n v="2"/>
    <x v="0"/>
    <x v="3"/>
    <n v="12829.455099999999"/>
    <x v="0"/>
    <x v="3"/>
    <s v="No"/>
  </r>
  <r>
    <n v="63"/>
    <x v="0"/>
    <n v="32.200000000000003"/>
    <n v="2"/>
    <x v="0"/>
    <x v="0"/>
    <n v="47305.305"/>
    <x v="3"/>
    <x v="1"/>
    <s v="Yes"/>
  </r>
  <r>
    <n v="54"/>
    <x v="1"/>
    <n v="34.21"/>
    <n v="2"/>
    <x v="0"/>
    <x v="1"/>
    <n v="44260.749900000003"/>
    <x v="4"/>
    <x v="1"/>
    <s v="Yes"/>
  </r>
  <r>
    <n v="27"/>
    <x v="1"/>
    <n v="30.3"/>
    <n v="3"/>
    <x v="1"/>
    <x v="0"/>
    <n v="4260.7439999999997"/>
    <x v="0"/>
    <x v="1"/>
    <s v="No"/>
  </r>
  <r>
    <n v="50"/>
    <x v="1"/>
    <n v="31.824999999999999"/>
    <n v="0"/>
    <x v="0"/>
    <x v="3"/>
    <n v="41097.161749999999"/>
    <x v="4"/>
    <x v="1"/>
    <s v="Yes"/>
  </r>
  <r>
    <n v="55"/>
    <x v="0"/>
    <n v="25.364999999999998"/>
    <n v="3"/>
    <x v="1"/>
    <x v="3"/>
    <n v="13047.332350000001"/>
    <x v="4"/>
    <x v="0"/>
    <s v="No"/>
  </r>
  <r>
    <n v="56"/>
    <x v="1"/>
    <n v="33.630000000000003"/>
    <n v="0"/>
    <x v="0"/>
    <x v="2"/>
    <n v="43921.183700000001"/>
    <x v="4"/>
    <x v="1"/>
    <s v="Yes"/>
  </r>
  <r>
    <n v="38"/>
    <x v="0"/>
    <n v="40.15"/>
    <n v="0"/>
    <x v="1"/>
    <x v="1"/>
    <n v="5400.9804999999997"/>
    <x v="1"/>
    <x v="1"/>
    <s v="No"/>
  </r>
  <r>
    <n v="51"/>
    <x v="1"/>
    <n v="24.414999999999999"/>
    <n v="4"/>
    <x v="1"/>
    <x v="2"/>
    <n v="11520.099850000001"/>
    <x v="4"/>
    <x v="2"/>
    <s v="No"/>
  </r>
  <r>
    <n v="19"/>
    <x v="1"/>
    <n v="31.92"/>
    <n v="0"/>
    <x v="0"/>
    <x v="2"/>
    <n v="33750.291799999999"/>
    <x v="0"/>
    <x v="1"/>
    <s v="Yes"/>
  </r>
  <r>
    <n v="58"/>
    <x v="0"/>
    <n v="25.2"/>
    <n v="0"/>
    <x v="1"/>
    <x v="0"/>
    <n v="11837.16"/>
    <x v="4"/>
    <x v="0"/>
    <s v="No"/>
  </r>
  <r>
    <n v="20"/>
    <x v="0"/>
    <n v="26.84"/>
    <n v="1"/>
    <x v="0"/>
    <x v="1"/>
    <n v="17085.267599999999"/>
    <x v="0"/>
    <x v="0"/>
    <s v="No"/>
  </r>
  <r>
    <n v="52"/>
    <x v="1"/>
    <n v="24.32"/>
    <n v="3"/>
    <x v="0"/>
    <x v="3"/>
    <n v="24869.836800000001"/>
    <x v="4"/>
    <x v="2"/>
    <s v="Yes"/>
  </r>
  <r>
    <n v="19"/>
    <x v="1"/>
    <n v="36.954999999999998"/>
    <n v="0"/>
    <x v="0"/>
    <x v="2"/>
    <n v="36219.405449999998"/>
    <x v="0"/>
    <x v="1"/>
    <s v="Yes"/>
  </r>
  <r>
    <n v="53"/>
    <x v="0"/>
    <n v="38.06"/>
    <n v="3"/>
    <x v="1"/>
    <x v="1"/>
    <n v="20462.997660000001"/>
    <x v="4"/>
    <x v="1"/>
    <s v="Yes"/>
  </r>
  <r>
    <n v="46"/>
    <x v="1"/>
    <n v="42.35"/>
    <n v="3"/>
    <x v="0"/>
    <x v="1"/>
    <n v="46151.124499999998"/>
    <x v="2"/>
    <x v="1"/>
    <s v="Yes"/>
  </r>
  <r>
    <n v="40"/>
    <x v="1"/>
    <n v="19.8"/>
    <n v="1"/>
    <x v="0"/>
    <x v="1"/>
    <n v="17179.522000000001"/>
    <x v="2"/>
    <x v="2"/>
    <s v="No"/>
  </r>
  <r>
    <n v="59"/>
    <x v="0"/>
    <n v="32.395000000000003"/>
    <n v="3"/>
    <x v="1"/>
    <x v="3"/>
    <n v="14590.63205"/>
    <x v="4"/>
    <x v="1"/>
    <s v="No"/>
  </r>
  <r>
    <n v="45"/>
    <x v="1"/>
    <n v="30.2"/>
    <n v="1"/>
    <x v="1"/>
    <x v="0"/>
    <n v="7441.0529999999999"/>
    <x v="2"/>
    <x v="1"/>
    <s v="No"/>
  </r>
  <r>
    <n v="49"/>
    <x v="1"/>
    <n v="25.84"/>
    <n v="1"/>
    <x v="1"/>
    <x v="3"/>
    <n v="9282.4806000000008"/>
    <x v="2"/>
    <x v="0"/>
    <s v="No"/>
  </r>
  <r>
    <n v="18"/>
    <x v="1"/>
    <n v="29.37"/>
    <n v="1"/>
    <x v="1"/>
    <x v="1"/>
    <n v="1719.4363000000001"/>
    <x v="0"/>
    <x v="0"/>
    <s v="No"/>
  </r>
  <r>
    <n v="50"/>
    <x v="1"/>
    <n v="34.200000000000003"/>
    <n v="2"/>
    <x v="0"/>
    <x v="0"/>
    <n v="42856.838000000003"/>
    <x v="4"/>
    <x v="1"/>
    <s v="Yes"/>
  </r>
  <r>
    <n v="41"/>
    <x v="1"/>
    <n v="37.049999999999997"/>
    <n v="2"/>
    <x v="1"/>
    <x v="2"/>
    <n v="7265.7025000000003"/>
    <x v="2"/>
    <x v="1"/>
    <s v="No"/>
  </r>
  <r>
    <n v="50"/>
    <x v="1"/>
    <n v="27.454999999999998"/>
    <n v="1"/>
    <x v="1"/>
    <x v="3"/>
    <n v="9617.6624499999998"/>
    <x v="4"/>
    <x v="0"/>
    <s v="No"/>
  </r>
  <r>
    <n v="25"/>
    <x v="1"/>
    <n v="27.55"/>
    <n v="0"/>
    <x v="1"/>
    <x v="2"/>
    <n v="2523.1695"/>
    <x v="0"/>
    <x v="0"/>
    <s v="No"/>
  </r>
  <r>
    <n v="47"/>
    <x v="0"/>
    <n v="26.6"/>
    <n v="2"/>
    <x v="1"/>
    <x v="3"/>
    <n v="9715.8410000000003"/>
    <x v="2"/>
    <x v="0"/>
    <s v="No"/>
  </r>
  <r>
    <n v="19"/>
    <x v="1"/>
    <n v="20.614999999999998"/>
    <n v="2"/>
    <x v="1"/>
    <x v="2"/>
    <n v="2803.69785"/>
    <x v="0"/>
    <x v="2"/>
    <s v="No"/>
  </r>
  <r>
    <n v="22"/>
    <x v="0"/>
    <n v="24.3"/>
    <n v="0"/>
    <x v="1"/>
    <x v="0"/>
    <n v="2150.4690000000001"/>
    <x v="0"/>
    <x v="2"/>
    <s v="No"/>
  </r>
  <r>
    <n v="59"/>
    <x v="1"/>
    <n v="31.79"/>
    <n v="2"/>
    <x v="1"/>
    <x v="1"/>
    <n v="12928.7911"/>
    <x v="4"/>
    <x v="1"/>
    <s v="No"/>
  </r>
  <r>
    <n v="51"/>
    <x v="0"/>
    <n v="21.56"/>
    <n v="1"/>
    <x v="1"/>
    <x v="1"/>
    <n v="9855.1314000000002"/>
    <x v="4"/>
    <x v="2"/>
    <s v="No"/>
  </r>
  <r>
    <n v="40"/>
    <x v="0"/>
    <n v="28.12"/>
    <n v="1"/>
    <x v="0"/>
    <x v="3"/>
    <n v="22331.566800000001"/>
    <x v="2"/>
    <x v="0"/>
    <s v="Yes"/>
  </r>
  <r>
    <n v="54"/>
    <x v="1"/>
    <n v="40.564999999999998"/>
    <n v="3"/>
    <x v="0"/>
    <x v="3"/>
    <n v="48549.178350000002"/>
    <x v="4"/>
    <x v="1"/>
    <s v="Yes"/>
  </r>
  <r>
    <n v="30"/>
    <x v="1"/>
    <n v="27.645"/>
    <n v="1"/>
    <x v="1"/>
    <x v="3"/>
    <n v="4237.12655"/>
    <x v="1"/>
    <x v="0"/>
    <s v="No"/>
  </r>
  <r>
    <n v="55"/>
    <x v="0"/>
    <n v="32.395000000000003"/>
    <n v="1"/>
    <x v="1"/>
    <x v="3"/>
    <n v="11879.10405"/>
    <x v="4"/>
    <x v="1"/>
    <s v="No"/>
  </r>
  <r>
    <n v="52"/>
    <x v="0"/>
    <n v="31.2"/>
    <n v="0"/>
    <x v="1"/>
    <x v="0"/>
    <n v="9625.92"/>
    <x v="4"/>
    <x v="1"/>
    <s v="No"/>
  </r>
  <r>
    <n v="46"/>
    <x v="1"/>
    <n v="26.62"/>
    <n v="1"/>
    <x v="1"/>
    <x v="1"/>
    <n v="7742.1098000000002"/>
    <x v="2"/>
    <x v="0"/>
    <s v="No"/>
  </r>
  <r>
    <n v="46"/>
    <x v="0"/>
    <n v="48.07"/>
    <n v="2"/>
    <x v="1"/>
    <x v="3"/>
    <n v="9432.9253000000008"/>
    <x v="2"/>
    <x v="1"/>
    <s v="No"/>
  </r>
  <r>
    <n v="63"/>
    <x v="0"/>
    <n v="26.22"/>
    <n v="0"/>
    <x v="1"/>
    <x v="2"/>
    <n v="14256.192800000001"/>
    <x v="3"/>
    <x v="0"/>
    <s v="No"/>
  </r>
  <r>
    <n v="59"/>
    <x v="0"/>
    <n v="36.765000000000001"/>
    <n v="1"/>
    <x v="0"/>
    <x v="3"/>
    <n v="47896.79135"/>
    <x v="4"/>
    <x v="1"/>
    <s v="Yes"/>
  </r>
  <r>
    <n v="52"/>
    <x v="1"/>
    <n v="26.4"/>
    <n v="3"/>
    <x v="1"/>
    <x v="1"/>
    <n v="25992.821039999999"/>
    <x v="4"/>
    <x v="0"/>
    <s v="Yes"/>
  </r>
  <r>
    <n v="28"/>
    <x v="0"/>
    <n v="33.4"/>
    <n v="0"/>
    <x v="1"/>
    <x v="0"/>
    <n v="3172.018"/>
    <x v="0"/>
    <x v="1"/>
    <s v="No"/>
  </r>
  <r>
    <n v="29"/>
    <x v="1"/>
    <n v="29.64"/>
    <n v="1"/>
    <x v="1"/>
    <x v="3"/>
    <n v="20277.807509999999"/>
    <x v="0"/>
    <x v="0"/>
    <s v="Yes"/>
  </r>
  <r>
    <n v="25"/>
    <x v="1"/>
    <n v="45.54"/>
    <n v="2"/>
    <x v="0"/>
    <x v="1"/>
    <n v="42112.2356"/>
    <x v="0"/>
    <x v="1"/>
    <s v="Yes"/>
  </r>
  <r>
    <n v="22"/>
    <x v="0"/>
    <n v="28.82"/>
    <n v="0"/>
    <x v="1"/>
    <x v="1"/>
    <n v="2156.7518"/>
    <x v="0"/>
    <x v="0"/>
    <s v="No"/>
  </r>
  <r>
    <n v="25"/>
    <x v="1"/>
    <n v="26.8"/>
    <n v="3"/>
    <x v="1"/>
    <x v="0"/>
    <n v="3906.127"/>
    <x v="0"/>
    <x v="0"/>
    <s v="No"/>
  </r>
  <r>
    <n v="18"/>
    <x v="1"/>
    <n v="22.99"/>
    <n v="0"/>
    <x v="1"/>
    <x v="3"/>
    <n v="1704.5681"/>
    <x v="0"/>
    <x v="2"/>
    <s v="No"/>
  </r>
  <r>
    <n v="19"/>
    <x v="1"/>
    <n v="27.7"/>
    <n v="0"/>
    <x v="0"/>
    <x v="0"/>
    <n v="16297.846"/>
    <x v="0"/>
    <x v="0"/>
    <s v="No"/>
  </r>
  <r>
    <n v="47"/>
    <x v="1"/>
    <n v="25.41"/>
    <n v="1"/>
    <x v="0"/>
    <x v="1"/>
    <n v="21978.676899999999"/>
    <x v="2"/>
    <x v="0"/>
    <s v="Yes"/>
  </r>
  <r>
    <n v="31"/>
    <x v="1"/>
    <n v="34.39"/>
    <n v="3"/>
    <x v="0"/>
    <x v="2"/>
    <n v="38746.355100000001"/>
    <x v="1"/>
    <x v="1"/>
    <s v="Yes"/>
  </r>
  <r>
    <n v="48"/>
    <x v="0"/>
    <n v="28.88"/>
    <n v="1"/>
    <x v="1"/>
    <x v="2"/>
    <n v="9249.4951999999994"/>
    <x v="2"/>
    <x v="0"/>
    <s v="No"/>
  </r>
  <r>
    <n v="36"/>
    <x v="1"/>
    <n v="27.55"/>
    <n v="3"/>
    <x v="1"/>
    <x v="3"/>
    <n v="6746.7425000000003"/>
    <x v="1"/>
    <x v="0"/>
    <s v="No"/>
  </r>
  <r>
    <n v="53"/>
    <x v="0"/>
    <n v="22.61"/>
    <n v="3"/>
    <x v="0"/>
    <x v="3"/>
    <n v="24873.384900000001"/>
    <x v="4"/>
    <x v="2"/>
    <s v="Yes"/>
  </r>
  <r>
    <n v="56"/>
    <x v="0"/>
    <n v="37.51"/>
    <n v="2"/>
    <x v="1"/>
    <x v="1"/>
    <n v="12265.5069"/>
    <x v="4"/>
    <x v="1"/>
    <s v="No"/>
  </r>
  <r>
    <n v="28"/>
    <x v="0"/>
    <n v="33"/>
    <n v="2"/>
    <x v="1"/>
    <x v="1"/>
    <n v="4349.4620000000004"/>
    <x v="0"/>
    <x v="1"/>
    <s v="No"/>
  </r>
  <r>
    <n v="57"/>
    <x v="0"/>
    <n v="38"/>
    <n v="2"/>
    <x v="1"/>
    <x v="0"/>
    <n v="12646.207"/>
    <x v="4"/>
    <x v="1"/>
    <s v="No"/>
  </r>
  <r>
    <n v="29"/>
    <x v="1"/>
    <n v="33.344999999999999"/>
    <n v="2"/>
    <x v="1"/>
    <x v="2"/>
    <n v="19442.353500000001"/>
    <x v="0"/>
    <x v="1"/>
    <s v="No"/>
  </r>
  <r>
    <n v="28"/>
    <x v="0"/>
    <n v="27.5"/>
    <n v="2"/>
    <x v="1"/>
    <x v="0"/>
    <n v="20177.671129999999"/>
    <x v="0"/>
    <x v="0"/>
    <s v="Yes"/>
  </r>
  <r>
    <n v="30"/>
    <x v="0"/>
    <n v="33.33"/>
    <n v="1"/>
    <x v="1"/>
    <x v="1"/>
    <n v="4151.0286999999998"/>
    <x v="1"/>
    <x v="1"/>
    <s v="No"/>
  </r>
  <r>
    <n v="58"/>
    <x v="1"/>
    <n v="34.865000000000002"/>
    <n v="0"/>
    <x v="1"/>
    <x v="3"/>
    <n v="11944.594349999999"/>
    <x v="4"/>
    <x v="1"/>
    <s v="No"/>
  </r>
  <r>
    <n v="41"/>
    <x v="0"/>
    <n v="33.06"/>
    <n v="2"/>
    <x v="1"/>
    <x v="2"/>
    <n v="7749.1563999999998"/>
    <x v="2"/>
    <x v="1"/>
    <s v="No"/>
  </r>
  <r>
    <n v="50"/>
    <x v="1"/>
    <n v="26.6"/>
    <n v="0"/>
    <x v="1"/>
    <x v="0"/>
    <n v="8444.4740000000002"/>
    <x v="4"/>
    <x v="0"/>
    <s v="No"/>
  </r>
  <r>
    <n v="19"/>
    <x v="0"/>
    <n v="24.7"/>
    <n v="0"/>
    <x v="1"/>
    <x v="0"/>
    <n v="1737.376"/>
    <x v="0"/>
    <x v="2"/>
    <s v="No"/>
  </r>
  <r>
    <n v="43"/>
    <x v="1"/>
    <n v="35.97"/>
    <n v="3"/>
    <x v="0"/>
    <x v="1"/>
    <n v="42124.515299999999"/>
    <x v="2"/>
    <x v="1"/>
    <s v="Yes"/>
  </r>
  <r>
    <n v="49"/>
    <x v="1"/>
    <n v="35.86"/>
    <n v="0"/>
    <x v="1"/>
    <x v="1"/>
    <n v="8124.4084000000003"/>
    <x v="2"/>
    <x v="1"/>
    <s v="No"/>
  </r>
  <r>
    <n v="27"/>
    <x v="0"/>
    <n v="31.4"/>
    <n v="0"/>
    <x v="0"/>
    <x v="0"/>
    <n v="34838.873"/>
    <x v="0"/>
    <x v="1"/>
    <s v="Yes"/>
  </r>
  <r>
    <n v="52"/>
    <x v="1"/>
    <n v="33.25"/>
    <n v="0"/>
    <x v="1"/>
    <x v="3"/>
    <n v="9722.7695000000003"/>
    <x v="4"/>
    <x v="1"/>
    <s v="No"/>
  </r>
  <r>
    <n v="50"/>
    <x v="1"/>
    <n v="32.204999999999998"/>
    <n v="0"/>
    <x v="1"/>
    <x v="2"/>
    <n v="8835.2649500000007"/>
    <x v="4"/>
    <x v="1"/>
    <s v="No"/>
  </r>
  <r>
    <n v="54"/>
    <x v="1"/>
    <n v="32.774999999999999"/>
    <n v="0"/>
    <x v="1"/>
    <x v="3"/>
    <n v="10435.06525"/>
    <x v="4"/>
    <x v="1"/>
    <s v="No"/>
  </r>
  <r>
    <n v="44"/>
    <x v="0"/>
    <n v="27.645"/>
    <n v="0"/>
    <x v="1"/>
    <x v="2"/>
    <n v="7421.1945500000002"/>
    <x v="2"/>
    <x v="0"/>
    <s v="No"/>
  </r>
  <r>
    <n v="32"/>
    <x v="1"/>
    <n v="37.335000000000001"/>
    <n v="1"/>
    <x v="1"/>
    <x v="3"/>
    <n v="4667.6076499999999"/>
    <x v="1"/>
    <x v="1"/>
    <s v="No"/>
  </r>
  <r>
    <n v="34"/>
    <x v="1"/>
    <n v="25.27"/>
    <n v="1"/>
    <x v="1"/>
    <x v="2"/>
    <n v="4894.7533000000003"/>
    <x v="1"/>
    <x v="0"/>
    <s v="No"/>
  </r>
  <r>
    <n v="26"/>
    <x v="0"/>
    <n v="29.64"/>
    <n v="4"/>
    <x v="1"/>
    <x v="3"/>
    <n v="24671.663339999999"/>
    <x v="0"/>
    <x v="0"/>
    <s v="Yes"/>
  </r>
  <r>
    <n v="34"/>
    <x v="1"/>
    <n v="30.8"/>
    <n v="0"/>
    <x v="0"/>
    <x v="0"/>
    <n v="35491.64"/>
    <x v="1"/>
    <x v="1"/>
    <s v="Yes"/>
  </r>
  <r>
    <n v="57"/>
    <x v="1"/>
    <n v="40.945"/>
    <n v="0"/>
    <x v="1"/>
    <x v="3"/>
    <n v="11566.30055"/>
    <x v="4"/>
    <x v="1"/>
    <s v="No"/>
  </r>
  <r>
    <n v="29"/>
    <x v="1"/>
    <n v="27.2"/>
    <n v="0"/>
    <x v="1"/>
    <x v="0"/>
    <n v="2866.0909999999999"/>
    <x v="0"/>
    <x v="0"/>
    <s v="No"/>
  </r>
  <r>
    <n v="40"/>
    <x v="1"/>
    <n v="34.104999999999997"/>
    <n v="1"/>
    <x v="1"/>
    <x v="3"/>
    <n v="6600.2059499999996"/>
    <x v="2"/>
    <x v="1"/>
    <s v="No"/>
  </r>
  <r>
    <n v="27"/>
    <x v="0"/>
    <n v="23.21"/>
    <n v="1"/>
    <x v="1"/>
    <x v="1"/>
    <n v="3561.8888999999999"/>
    <x v="0"/>
    <x v="2"/>
    <s v="No"/>
  </r>
  <r>
    <n v="45"/>
    <x v="1"/>
    <n v="36.479999999999997"/>
    <n v="2"/>
    <x v="0"/>
    <x v="2"/>
    <n v="42760.502200000003"/>
    <x v="2"/>
    <x v="1"/>
    <s v="Yes"/>
  </r>
  <r>
    <n v="64"/>
    <x v="0"/>
    <n v="33.799999999999997"/>
    <n v="1"/>
    <x v="0"/>
    <x v="0"/>
    <n v="47928.03"/>
    <x v="3"/>
    <x v="1"/>
    <s v="Yes"/>
  </r>
  <r>
    <n v="52"/>
    <x v="1"/>
    <n v="36.700000000000003"/>
    <n v="0"/>
    <x v="1"/>
    <x v="0"/>
    <n v="9144.5650000000005"/>
    <x v="4"/>
    <x v="1"/>
    <s v="No"/>
  </r>
  <r>
    <n v="61"/>
    <x v="0"/>
    <n v="36.384999999999998"/>
    <n v="1"/>
    <x v="0"/>
    <x v="3"/>
    <n v="48517.563150000002"/>
    <x v="3"/>
    <x v="1"/>
    <s v="Yes"/>
  </r>
  <r>
    <n v="52"/>
    <x v="1"/>
    <n v="27.36"/>
    <n v="0"/>
    <x v="0"/>
    <x v="2"/>
    <n v="24393.6224"/>
    <x v="4"/>
    <x v="0"/>
    <s v="Yes"/>
  </r>
  <r>
    <n v="61"/>
    <x v="0"/>
    <n v="31.16"/>
    <n v="0"/>
    <x v="1"/>
    <x v="2"/>
    <n v="13429.035400000001"/>
    <x v="3"/>
    <x v="1"/>
    <s v="No"/>
  </r>
  <r>
    <n v="56"/>
    <x v="0"/>
    <n v="28.785"/>
    <n v="0"/>
    <x v="1"/>
    <x v="3"/>
    <n v="11658.379150000001"/>
    <x v="4"/>
    <x v="0"/>
    <s v="No"/>
  </r>
  <r>
    <n v="43"/>
    <x v="0"/>
    <n v="35.72"/>
    <n v="2"/>
    <x v="1"/>
    <x v="3"/>
    <n v="19144.576519999999"/>
    <x v="2"/>
    <x v="1"/>
    <s v="No"/>
  </r>
  <r>
    <n v="64"/>
    <x v="1"/>
    <n v="34.5"/>
    <n v="0"/>
    <x v="1"/>
    <x v="0"/>
    <n v="13822.803"/>
    <x v="3"/>
    <x v="1"/>
    <s v="No"/>
  </r>
  <r>
    <n v="60"/>
    <x v="1"/>
    <n v="25.74"/>
    <n v="0"/>
    <x v="1"/>
    <x v="1"/>
    <n v="12142.578600000001"/>
    <x v="3"/>
    <x v="0"/>
    <s v="No"/>
  </r>
  <r>
    <n v="62"/>
    <x v="1"/>
    <n v="27.55"/>
    <n v="1"/>
    <x v="1"/>
    <x v="2"/>
    <n v="13937.666499999999"/>
    <x v="3"/>
    <x v="0"/>
    <s v="No"/>
  </r>
  <r>
    <n v="50"/>
    <x v="1"/>
    <n v="32.299999999999997"/>
    <n v="1"/>
    <x v="0"/>
    <x v="3"/>
    <n v="41919.097000000002"/>
    <x v="4"/>
    <x v="1"/>
    <s v="Yes"/>
  </r>
  <r>
    <n v="46"/>
    <x v="0"/>
    <n v="27.72"/>
    <n v="1"/>
    <x v="1"/>
    <x v="1"/>
    <n v="8232.6388000000006"/>
    <x v="2"/>
    <x v="0"/>
    <s v="No"/>
  </r>
  <r>
    <n v="24"/>
    <x v="0"/>
    <n v="27.6"/>
    <n v="0"/>
    <x v="1"/>
    <x v="0"/>
    <n v="18955.220170000001"/>
    <x v="0"/>
    <x v="0"/>
    <s v="No"/>
  </r>
  <r>
    <n v="62"/>
    <x v="1"/>
    <n v="30.02"/>
    <n v="0"/>
    <x v="1"/>
    <x v="2"/>
    <n v="13352.0998"/>
    <x v="3"/>
    <x v="1"/>
    <s v="No"/>
  </r>
  <r>
    <n v="60"/>
    <x v="0"/>
    <n v="27.55"/>
    <n v="0"/>
    <x v="1"/>
    <x v="3"/>
    <n v="13217.094499999999"/>
    <x v="3"/>
    <x v="0"/>
    <s v="No"/>
  </r>
  <r>
    <n v="63"/>
    <x v="1"/>
    <n v="36.765000000000001"/>
    <n v="0"/>
    <x v="1"/>
    <x v="3"/>
    <n v="13981.850350000001"/>
    <x v="3"/>
    <x v="1"/>
    <s v="No"/>
  </r>
  <r>
    <n v="49"/>
    <x v="0"/>
    <n v="41.47"/>
    <n v="4"/>
    <x v="1"/>
    <x v="1"/>
    <n v="10977.2063"/>
    <x v="2"/>
    <x v="1"/>
    <s v="No"/>
  </r>
  <r>
    <n v="34"/>
    <x v="0"/>
    <n v="29.26"/>
    <n v="3"/>
    <x v="1"/>
    <x v="1"/>
    <n v="6184.2993999999999"/>
    <x v="1"/>
    <x v="0"/>
    <s v="No"/>
  </r>
  <r>
    <n v="33"/>
    <x v="1"/>
    <n v="35.75"/>
    <n v="2"/>
    <x v="1"/>
    <x v="1"/>
    <n v="4889.9994999999999"/>
    <x v="1"/>
    <x v="1"/>
    <s v="No"/>
  </r>
  <r>
    <n v="46"/>
    <x v="1"/>
    <n v="33.344999999999999"/>
    <n v="1"/>
    <x v="1"/>
    <x v="3"/>
    <n v="8334.4575499999992"/>
    <x v="2"/>
    <x v="1"/>
    <s v="No"/>
  </r>
  <r>
    <n v="36"/>
    <x v="0"/>
    <n v="29.92"/>
    <n v="1"/>
    <x v="1"/>
    <x v="1"/>
    <n v="5478.0367999999999"/>
    <x v="1"/>
    <x v="0"/>
    <s v="No"/>
  </r>
  <r>
    <n v="19"/>
    <x v="1"/>
    <n v="27.835000000000001"/>
    <n v="0"/>
    <x v="1"/>
    <x v="2"/>
    <n v="1635.7336499999999"/>
    <x v="0"/>
    <x v="0"/>
    <s v="No"/>
  </r>
  <r>
    <n v="57"/>
    <x v="0"/>
    <n v="23.18"/>
    <n v="0"/>
    <x v="1"/>
    <x v="2"/>
    <n v="11830.6072"/>
    <x v="4"/>
    <x v="2"/>
    <s v="No"/>
  </r>
  <r>
    <n v="50"/>
    <x v="0"/>
    <n v="25.6"/>
    <n v="0"/>
    <x v="1"/>
    <x v="0"/>
    <n v="8932.0840000000007"/>
    <x v="4"/>
    <x v="0"/>
    <s v="No"/>
  </r>
  <r>
    <n v="30"/>
    <x v="0"/>
    <n v="27.7"/>
    <n v="0"/>
    <x v="1"/>
    <x v="0"/>
    <n v="3554.203"/>
    <x v="1"/>
    <x v="0"/>
    <s v="No"/>
  </r>
  <r>
    <n v="33"/>
    <x v="1"/>
    <n v="35.244999999999997"/>
    <n v="0"/>
    <x v="1"/>
    <x v="3"/>
    <n v="12404.8791"/>
    <x v="1"/>
    <x v="1"/>
    <s v="No"/>
  </r>
  <r>
    <n v="18"/>
    <x v="0"/>
    <n v="38.28"/>
    <n v="0"/>
    <x v="1"/>
    <x v="1"/>
    <n v="14133.03775"/>
    <x v="0"/>
    <x v="1"/>
    <s v="No"/>
  </r>
  <r>
    <n v="46"/>
    <x v="1"/>
    <n v="27.6"/>
    <n v="0"/>
    <x v="1"/>
    <x v="0"/>
    <n v="24603.04837"/>
    <x v="2"/>
    <x v="0"/>
    <s v="Yes"/>
  </r>
  <r>
    <n v="46"/>
    <x v="1"/>
    <n v="43.89"/>
    <n v="3"/>
    <x v="1"/>
    <x v="1"/>
    <n v="8944.1151000000009"/>
    <x v="2"/>
    <x v="1"/>
    <s v="No"/>
  </r>
  <r>
    <n v="47"/>
    <x v="1"/>
    <n v="29.83"/>
    <n v="3"/>
    <x v="1"/>
    <x v="2"/>
    <n v="9620.3307000000004"/>
    <x v="2"/>
    <x v="0"/>
    <s v="No"/>
  </r>
  <r>
    <n v="23"/>
    <x v="1"/>
    <n v="41.91"/>
    <n v="0"/>
    <x v="1"/>
    <x v="1"/>
    <n v="1837.2819"/>
    <x v="0"/>
    <x v="1"/>
    <s v="No"/>
  </r>
  <r>
    <n v="18"/>
    <x v="0"/>
    <n v="20.79"/>
    <n v="0"/>
    <x v="1"/>
    <x v="1"/>
    <n v="1607.5101"/>
    <x v="0"/>
    <x v="2"/>
    <s v="No"/>
  </r>
  <r>
    <n v="48"/>
    <x v="0"/>
    <n v="32.299999999999997"/>
    <n v="2"/>
    <x v="1"/>
    <x v="3"/>
    <n v="10043.249"/>
    <x v="2"/>
    <x v="1"/>
    <s v="No"/>
  </r>
  <r>
    <n v="35"/>
    <x v="1"/>
    <n v="30.5"/>
    <n v="1"/>
    <x v="1"/>
    <x v="0"/>
    <n v="4751.07"/>
    <x v="1"/>
    <x v="1"/>
    <s v="No"/>
  </r>
  <r>
    <n v="19"/>
    <x v="0"/>
    <n v="21.7"/>
    <n v="0"/>
    <x v="0"/>
    <x v="0"/>
    <n v="13844.505999999999"/>
    <x v="0"/>
    <x v="2"/>
    <s v="No"/>
  </r>
  <r>
    <n v="21"/>
    <x v="0"/>
    <n v="26.4"/>
    <n v="1"/>
    <x v="1"/>
    <x v="0"/>
    <n v="2597.779"/>
    <x v="0"/>
    <x v="0"/>
    <s v="No"/>
  </r>
  <r>
    <n v="21"/>
    <x v="0"/>
    <n v="21.89"/>
    <n v="2"/>
    <x v="1"/>
    <x v="1"/>
    <n v="3180.5101"/>
    <x v="0"/>
    <x v="2"/>
    <s v="No"/>
  </r>
  <r>
    <n v="49"/>
    <x v="0"/>
    <n v="30.78"/>
    <n v="1"/>
    <x v="1"/>
    <x v="3"/>
    <n v="9778.3472000000002"/>
    <x v="2"/>
    <x v="1"/>
    <s v="No"/>
  </r>
  <r>
    <n v="56"/>
    <x v="0"/>
    <n v="32.299999999999997"/>
    <n v="3"/>
    <x v="1"/>
    <x v="3"/>
    <n v="13430.264999999999"/>
    <x v="4"/>
    <x v="1"/>
    <s v="No"/>
  </r>
  <r>
    <n v="42"/>
    <x v="0"/>
    <n v="24.984999999999999"/>
    <n v="2"/>
    <x v="1"/>
    <x v="2"/>
    <n v="8017.0611500000005"/>
    <x v="2"/>
    <x v="2"/>
    <s v="No"/>
  </r>
  <r>
    <n v="44"/>
    <x v="1"/>
    <n v="32.015000000000001"/>
    <n v="2"/>
    <x v="1"/>
    <x v="2"/>
    <n v="8116.2688500000004"/>
    <x v="2"/>
    <x v="1"/>
    <s v="No"/>
  </r>
  <r>
    <n v="18"/>
    <x v="1"/>
    <n v="30.4"/>
    <n v="3"/>
    <x v="1"/>
    <x v="3"/>
    <n v="3481.8679999999999"/>
    <x v="0"/>
    <x v="1"/>
    <s v="No"/>
  </r>
  <r>
    <n v="61"/>
    <x v="0"/>
    <n v="21.09"/>
    <n v="0"/>
    <x v="1"/>
    <x v="2"/>
    <n v="13415.0381"/>
    <x v="3"/>
    <x v="2"/>
    <s v="No"/>
  </r>
  <r>
    <n v="57"/>
    <x v="0"/>
    <n v="22.23"/>
    <n v="0"/>
    <x v="1"/>
    <x v="3"/>
    <n v="12029.286700000001"/>
    <x v="4"/>
    <x v="2"/>
    <s v="No"/>
  </r>
  <r>
    <n v="42"/>
    <x v="0"/>
    <n v="33.155000000000001"/>
    <n v="1"/>
    <x v="1"/>
    <x v="3"/>
    <n v="7639.4174499999999"/>
    <x v="2"/>
    <x v="1"/>
    <s v="No"/>
  </r>
  <r>
    <n v="26"/>
    <x v="1"/>
    <n v="32.9"/>
    <n v="2"/>
    <x v="0"/>
    <x v="0"/>
    <n v="36085.218999999997"/>
    <x v="0"/>
    <x v="1"/>
    <s v="Yes"/>
  </r>
  <r>
    <n v="20"/>
    <x v="1"/>
    <n v="33.33"/>
    <n v="0"/>
    <x v="1"/>
    <x v="1"/>
    <n v="1391.5287000000001"/>
    <x v="0"/>
    <x v="1"/>
    <s v="No"/>
  </r>
  <r>
    <n v="23"/>
    <x v="0"/>
    <n v="28.31"/>
    <n v="0"/>
    <x v="0"/>
    <x v="2"/>
    <n v="18033.9679"/>
    <x v="0"/>
    <x v="0"/>
    <s v="No"/>
  </r>
  <r>
    <n v="39"/>
    <x v="0"/>
    <n v="24.89"/>
    <n v="3"/>
    <x v="0"/>
    <x v="3"/>
    <n v="21659.930100000001"/>
    <x v="1"/>
    <x v="2"/>
    <s v="Yes"/>
  </r>
  <r>
    <n v="24"/>
    <x v="1"/>
    <n v="40.15"/>
    <n v="0"/>
    <x v="0"/>
    <x v="1"/>
    <n v="38126.246500000001"/>
    <x v="0"/>
    <x v="1"/>
    <s v="Yes"/>
  </r>
  <r>
    <n v="64"/>
    <x v="0"/>
    <n v="30.114999999999998"/>
    <n v="3"/>
    <x v="1"/>
    <x v="2"/>
    <n v="16455.707849999999"/>
    <x v="3"/>
    <x v="1"/>
    <s v="No"/>
  </r>
  <r>
    <n v="62"/>
    <x v="1"/>
    <n v="31.46"/>
    <n v="1"/>
    <x v="1"/>
    <x v="1"/>
    <n v="27000.98473"/>
    <x v="3"/>
    <x v="1"/>
    <s v="Yes"/>
  </r>
  <r>
    <n v="27"/>
    <x v="0"/>
    <n v="17.954999999999998"/>
    <n v="2"/>
    <x v="0"/>
    <x v="3"/>
    <n v="15006.579449999999"/>
    <x v="0"/>
    <x v="3"/>
    <s v="No"/>
  </r>
  <r>
    <n v="55"/>
    <x v="1"/>
    <n v="30.684999999999999"/>
    <n v="0"/>
    <x v="0"/>
    <x v="3"/>
    <n v="42303.692150000003"/>
    <x v="4"/>
    <x v="1"/>
    <s v="Yes"/>
  </r>
  <r>
    <n v="55"/>
    <x v="1"/>
    <n v="33"/>
    <n v="0"/>
    <x v="1"/>
    <x v="1"/>
    <n v="20781.48892"/>
    <x v="4"/>
    <x v="1"/>
    <s v="Yes"/>
  </r>
  <r>
    <n v="35"/>
    <x v="0"/>
    <n v="43.34"/>
    <n v="2"/>
    <x v="1"/>
    <x v="1"/>
    <n v="5846.9175999999998"/>
    <x v="1"/>
    <x v="1"/>
    <s v="No"/>
  </r>
  <r>
    <n v="44"/>
    <x v="1"/>
    <n v="22.135000000000002"/>
    <n v="2"/>
    <x v="1"/>
    <x v="3"/>
    <n v="8302.5356499999998"/>
    <x v="2"/>
    <x v="2"/>
    <s v="No"/>
  </r>
  <r>
    <n v="19"/>
    <x v="1"/>
    <n v="34.4"/>
    <n v="0"/>
    <x v="1"/>
    <x v="0"/>
    <n v="1261.8589999999999"/>
    <x v="0"/>
    <x v="1"/>
    <s v="No"/>
  </r>
  <r>
    <n v="58"/>
    <x v="0"/>
    <n v="39.049999999999997"/>
    <n v="0"/>
    <x v="1"/>
    <x v="1"/>
    <n v="11856.4115"/>
    <x v="4"/>
    <x v="1"/>
    <s v="No"/>
  </r>
  <r>
    <n v="50"/>
    <x v="1"/>
    <n v="25.364999999999998"/>
    <n v="2"/>
    <x v="1"/>
    <x v="2"/>
    <n v="30284.642940000002"/>
    <x v="4"/>
    <x v="0"/>
    <s v="Yes"/>
  </r>
  <r>
    <n v="26"/>
    <x v="0"/>
    <n v="22.61"/>
    <n v="0"/>
    <x v="1"/>
    <x v="2"/>
    <n v="3176.8159000000001"/>
    <x v="0"/>
    <x v="2"/>
    <s v="No"/>
  </r>
  <r>
    <n v="24"/>
    <x v="0"/>
    <n v="30.21"/>
    <n v="3"/>
    <x v="1"/>
    <x v="2"/>
    <n v="4618.0798999999997"/>
    <x v="0"/>
    <x v="1"/>
    <s v="No"/>
  </r>
  <r>
    <n v="48"/>
    <x v="1"/>
    <n v="35.625"/>
    <n v="4"/>
    <x v="1"/>
    <x v="3"/>
    <n v="10736.87075"/>
    <x v="2"/>
    <x v="1"/>
    <s v="No"/>
  </r>
  <r>
    <n v="19"/>
    <x v="0"/>
    <n v="37.43"/>
    <n v="0"/>
    <x v="1"/>
    <x v="2"/>
    <n v="2138.0707000000002"/>
    <x v="0"/>
    <x v="1"/>
    <s v="No"/>
  </r>
  <r>
    <n v="48"/>
    <x v="1"/>
    <n v="31.445"/>
    <n v="1"/>
    <x v="1"/>
    <x v="3"/>
    <n v="8964.0605500000001"/>
    <x v="2"/>
    <x v="1"/>
    <s v="No"/>
  </r>
  <r>
    <n v="49"/>
    <x v="1"/>
    <n v="31.35"/>
    <n v="1"/>
    <x v="1"/>
    <x v="3"/>
    <n v="9290.1394999999993"/>
    <x v="2"/>
    <x v="1"/>
    <s v="No"/>
  </r>
  <r>
    <n v="46"/>
    <x v="0"/>
    <n v="32.299999999999997"/>
    <n v="2"/>
    <x v="1"/>
    <x v="3"/>
    <n v="9411.0049999999992"/>
    <x v="2"/>
    <x v="1"/>
    <s v="No"/>
  </r>
  <r>
    <n v="46"/>
    <x v="1"/>
    <n v="19.855"/>
    <n v="0"/>
    <x v="1"/>
    <x v="2"/>
    <n v="7526.7064499999997"/>
    <x v="2"/>
    <x v="2"/>
    <s v="No"/>
  </r>
  <r>
    <n v="43"/>
    <x v="0"/>
    <n v="34.4"/>
    <n v="3"/>
    <x v="1"/>
    <x v="0"/>
    <n v="8522.0030000000006"/>
    <x v="2"/>
    <x v="1"/>
    <s v="No"/>
  </r>
  <r>
    <n v="21"/>
    <x v="1"/>
    <n v="31.02"/>
    <n v="0"/>
    <x v="1"/>
    <x v="1"/>
    <n v="16586.49771"/>
    <x v="0"/>
    <x v="1"/>
    <s v="No"/>
  </r>
  <r>
    <n v="64"/>
    <x v="1"/>
    <n v="25.6"/>
    <n v="2"/>
    <x v="1"/>
    <x v="0"/>
    <n v="14988.432000000001"/>
    <x v="3"/>
    <x v="0"/>
    <s v="No"/>
  </r>
  <r>
    <n v="18"/>
    <x v="0"/>
    <n v="38.17"/>
    <n v="0"/>
    <x v="1"/>
    <x v="1"/>
    <n v="1631.6683"/>
    <x v="0"/>
    <x v="1"/>
    <s v="No"/>
  </r>
  <r>
    <n v="51"/>
    <x v="0"/>
    <n v="20.6"/>
    <n v="0"/>
    <x v="1"/>
    <x v="0"/>
    <n v="9264.7970000000005"/>
    <x v="4"/>
    <x v="2"/>
    <s v="No"/>
  </r>
  <r>
    <n v="47"/>
    <x v="1"/>
    <n v="47.52"/>
    <n v="1"/>
    <x v="1"/>
    <x v="1"/>
    <n v="8083.9197999999997"/>
    <x v="2"/>
    <x v="1"/>
    <s v="No"/>
  </r>
  <r>
    <n v="64"/>
    <x v="0"/>
    <n v="32.965000000000003"/>
    <n v="0"/>
    <x v="1"/>
    <x v="2"/>
    <n v="14692.66935"/>
    <x v="3"/>
    <x v="1"/>
    <s v="No"/>
  </r>
  <r>
    <n v="49"/>
    <x v="1"/>
    <n v="32.299999999999997"/>
    <n v="3"/>
    <x v="1"/>
    <x v="2"/>
    <n v="10269.459999999999"/>
    <x v="2"/>
    <x v="1"/>
    <s v="No"/>
  </r>
  <r>
    <n v="31"/>
    <x v="1"/>
    <n v="20.399999999999999"/>
    <n v="0"/>
    <x v="1"/>
    <x v="0"/>
    <n v="3260.1990000000001"/>
    <x v="1"/>
    <x v="2"/>
    <s v="No"/>
  </r>
  <r>
    <n v="52"/>
    <x v="0"/>
    <n v="38.380000000000003"/>
    <n v="2"/>
    <x v="1"/>
    <x v="3"/>
    <n v="11396.9002"/>
    <x v="4"/>
    <x v="1"/>
    <s v="No"/>
  </r>
  <r>
    <n v="33"/>
    <x v="0"/>
    <n v="24.31"/>
    <n v="0"/>
    <x v="1"/>
    <x v="1"/>
    <n v="4185.0978999999998"/>
    <x v="1"/>
    <x v="2"/>
    <s v="No"/>
  </r>
  <r>
    <n v="47"/>
    <x v="0"/>
    <n v="23.6"/>
    <n v="1"/>
    <x v="1"/>
    <x v="0"/>
    <n v="8539.6710000000003"/>
    <x v="2"/>
    <x v="2"/>
    <s v="No"/>
  </r>
  <r>
    <n v="38"/>
    <x v="1"/>
    <n v="21.12"/>
    <n v="3"/>
    <x v="1"/>
    <x v="1"/>
    <n v="6652.5288"/>
    <x v="1"/>
    <x v="2"/>
    <s v="No"/>
  </r>
  <r>
    <n v="32"/>
    <x v="1"/>
    <n v="30.03"/>
    <n v="1"/>
    <x v="1"/>
    <x v="1"/>
    <n v="4074.4537"/>
    <x v="1"/>
    <x v="1"/>
    <s v="No"/>
  </r>
  <r>
    <n v="19"/>
    <x v="1"/>
    <n v="17.48"/>
    <n v="0"/>
    <x v="1"/>
    <x v="2"/>
    <n v="1621.3402000000001"/>
    <x v="0"/>
    <x v="3"/>
    <s v="No"/>
  </r>
  <r>
    <n v="44"/>
    <x v="0"/>
    <n v="20.234999999999999"/>
    <n v="1"/>
    <x v="0"/>
    <x v="3"/>
    <n v="19594.809649999999"/>
    <x v="2"/>
    <x v="2"/>
    <s v="No"/>
  </r>
  <r>
    <n v="26"/>
    <x v="0"/>
    <n v="17.195"/>
    <n v="2"/>
    <x v="0"/>
    <x v="3"/>
    <n v="14455.644050000001"/>
    <x v="0"/>
    <x v="3"/>
    <s v="No"/>
  </r>
  <r>
    <n v="25"/>
    <x v="1"/>
    <n v="23.9"/>
    <n v="5"/>
    <x v="1"/>
    <x v="0"/>
    <n v="5080.0959999999995"/>
    <x v="0"/>
    <x v="2"/>
    <s v="No"/>
  </r>
  <r>
    <n v="19"/>
    <x v="0"/>
    <n v="35.15"/>
    <n v="0"/>
    <x v="1"/>
    <x v="2"/>
    <n v="2134.9014999999999"/>
    <x v="0"/>
    <x v="1"/>
    <s v="No"/>
  </r>
  <r>
    <n v="43"/>
    <x v="0"/>
    <n v="35.64"/>
    <n v="1"/>
    <x v="1"/>
    <x v="1"/>
    <n v="7345.7266"/>
    <x v="2"/>
    <x v="1"/>
    <s v="No"/>
  </r>
  <r>
    <n v="52"/>
    <x v="1"/>
    <n v="34.1"/>
    <n v="0"/>
    <x v="1"/>
    <x v="1"/>
    <n v="9140.9509999999991"/>
    <x v="4"/>
    <x v="1"/>
    <s v="No"/>
  </r>
  <r>
    <n v="36"/>
    <x v="0"/>
    <n v="22.6"/>
    <n v="2"/>
    <x v="0"/>
    <x v="0"/>
    <n v="18608.261999999999"/>
    <x v="1"/>
    <x v="2"/>
    <s v="No"/>
  </r>
  <r>
    <n v="64"/>
    <x v="1"/>
    <n v="39.159999999999997"/>
    <n v="1"/>
    <x v="1"/>
    <x v="1"/>
    <n v="14418.2804"/>
    <x v="3"/>
    <x v="1"/>
    <s v="No"/>
  </r>
  <r>
    <n v="63"/>
    <x v="0"/>
    <n v="26.98"/>
    <n v="0"/>
    <x v="0"/>
    <x v="2"/>
    <n v="28950.4692"/>
    <x v="3"/>
    <x v="0"/>
    <s v="Yes"/>
  </r>
  <r>
    <n v="64"/>
    <x v="1"/>
    <n v="33.880000000000003"/>
    <n v="0"/>
    <x v="0"/>
    <x v="1"/>
    <n v="46889.261200000001"/>
    <x v="3"/>
    <x v="1"/>
    <s v="Yes"/>
  </r>
  <r>
    <n v="61"/>
    <x v="1"/>
    <n v="35.86"/>
    <n v="0"/>
    <x v="0"/>
    <x v="1"/>
    <n v="46599.108399999997"/>
    <x v="3"/>
    <x v="1"/>
    <s v="Yes"/>
  </r>
  <r>
    <n v="40"/>
    <x v="1"/>
    <n v="32.774999999999999"/>
    <n v="1"/>
    <x v="0"/>
    <x v="3"/>
    <n v="39125.332249999999"/>
    <x v="2"/>
    <x v="1"/>
    <s v="Yes"/>
  </r>
  <r>
    <n v="25"/>
    <x v="1"/>
    <n v="30.59"/>
    <n v="0"/>
    <x v="1"/>
    <x v="3"/>
    <n v="2727.3951000000002"/>
    <x v="0"/>
    <x v="1"/>
    <s v="No"/>
  </r>
  <r>
    <n v="48"/>
    <x v="1"/>
    <n v="30.2"/>
    <n v="2"/>
    <x v="1"/>
    <x v="0"/>
    <n v="8968.33"/>
    <x v="2"/>
    <x v="1"/>
    <s v="No"/>
  </r>
  <r>
    <n v="45"/>
    <x v="1"/>
    <n v="24.31"/>
    <n v="5"/>
    <x v="1"/>
    <x v="1"/>
    <n v="9788.8659000000007"/>
    <x v="2"/>
    <x v="2"/>
    <s v="No"/>
  </r>
  <r>
    <n v="38"/>
    <x v="0"/>
    <n v="27.265000000000001"/>
    <n v="1"/>
    <x v="1"/>
    <x v="3"/>
    <n v="6555.07035"/>
    <x v="1"/>
    <x v="0"/>
    <s v="No"/>
  </r>
  <r>
    <n v="18"/>
    <x v="0"/>
    <n v="29.164999999999999"/>
    <n v="0"/>
    <x v="1"/>
    <x v="3"/>
    <n v="7323.7348190000002"/>
    <x v="0"/>
    <x v="0"/>
    <s v="No"/>
  </r>
  <r>
    <n v="21"/>
    <x v="0"/>
    <n v="16.815000000000001"/>
    <n v="1"/>
    <x v="1"/>
    <x v="3"/>
    <n v="3167.4558499999998"/>
    <x v="0"/>
    <x v="3"/>
    <s v="No"/>
  </r>
  <r>
    <n v="27"/>
    <x v="0"/>
    <n v="30.4"/>
    <n v="3"/>
    <x v="1"/>
    <x v="2"/>
    <n v="18804.752400000001"/>
    <x v="0"/>
    <x v="1"/>
    <s v="No"/>
  </r>
  <r>
    <n v="19"/>
    <x v="1"/>
    <n v="33.1"/>
    <n v="0"/>
    <x v="1"/>
    <x v="0"/>
    <n v="23082.955330000001"/>
    <x v="0"/>
    <x v="1"/>
    <s v="Yes"/>
  </r>
  <r>
    <n v="29"/>
    <x v="0"/>
    <n v="20.234999999999999"/>
    <n v="2"/>
    <x v="1"/>
    <x v="2"/>
    <n v="4906.4096499999996"/>
    <x v="0"/>
    <x v="2"/>
    <s v="No"/>
  </r>
  <r>
    <n v="42"/>
    <x v="1"/>
    <n v="26.9"/>
    <n v="0"/>
    <x v="1"/>
    <x v="0"/>
    <n v="5969.723"/>
    <x v="2"/>
    <x v="0"/>
    <s v="No"/>
  </r>
  <r>
    <n v="60"/>
    <x v="0"/>
    <n v="30.5"/>
    <n v="0"/>
    <x v="1"/>
    <x v="0"/>
    <n v="12638.195"/>
    <x v="3"/>
    <x v="1"/>
    <s v="No"/>
  </r>
  <r>
    <n v="31"/>
    <x v="1"/>
    <n v="28.594999999999999"/>
    <n v="1"/>
    <x v="1"/>
    <x v="2"/>
    <n v="4243.5900499999998"/>
    <x v="1"/>
    <x v="0"/>
    <s v="No"/>
  </r>
  <r>
    <n v="60"/>
    <x v="1"/>
    <n v="33.11"/>
    <n v="3"/>
    <x v="1"/>
    <x v="1"/>
    <n v="13919.822899999999"/>
    <x v="3"/>
    <x v="1"/>
    <s v="No"/>
  </r>
  <r>
    <n v="22"/>
    <x v="1"/>
    <n v="31.73"/>
    <n v="0"/>
    <x v="1"/>
    <x v="3"/>
    <n v="2254.7966999999999"/>
    <x v="0"/>
    <x v="1"/>
    <s v="No"/>
  </r>
  <r>
    <n v="35"/>
    <x v="1"/>
    <n v="28.9"/>
    <n v="3"/>
    <x v="1"/>
    <x v="0"/>
    <n v="5926.8459999999995"/>
    <x v="1"/>
    <x v="0"/>
    <s v="No"/>
  </r>
  <r>
    <n v="52"/>
    <x v="0"/>
    <n v="46.75"/>
    <n v="5"/>
    <x v="1"/>
    <x v="1"/>
    <n v="12592.5345"/>
    <x v="4"/>
    <x v="1"/>
    <s v="No"/>
  </r>
  <r>
    <n v="26"/>
    <x v="1"/>
    <n v="29.45"/>
    <n v="0"/>
    <x v="1"/>
    <x v="3"/>
    <n v="2897.3235"/>
    <x v="0"/>
    <x v="0"/>
    <s v="No"/>
  </r>
  <r>
    <n v="31"/>
    <x v="0"/>
    <n v="32.68"/>
    <n v="1"/>
    <x v="1"/>
    <x v="2"/>
    <n v="4738.2682000000004"/>
    <x v="1"/>
    <x v="1"/>
    <s v="No"/>
  </r>
  <r>
    <n v="33"/>
    <x v="0"/>
    <n v="33.5"/>
    <n v="0"/>
    <x v="0"/>
    <x v="0"/>
    <n v="37079.372000000003"/>
    <x v="1"/>
    <x v="1"/>
    <s v="Yes"/>
  </r>
  <r>
    <n v="18"/>
    <x v="1"/>
    <n v="43.01"/>
    <n v="0"/>
    <x v="1"/>
    <x v="1"/>
    <n v="1149.3959"/>
    <x v="0"/>
    <x v="1"/>
    <s v="No"/>
  </r>
  <r>
    <n v="59"/>
    <x v="0"/>
    <n v="36.520000000000003"/>
    <n v="1"/>
    <x v="1"/>
    <x v="1"/>
    <n v="28287.897659999999"/>
    <x v="4"/>
    <x v="1"/>
    <s v="Yes"/>
  </r>
  <r>
    <n v="56"/>
    <x v="1"/>
    <n v="26.695"/>
    <n v="1"/>
    <x v="0"/>
    <x v="2"/>
    <n v="26109.32905"/>
    <x v="4"/>
    <x v="0"/>
    <s v="Yes"/>
  </r>
  <r>
    <n v="45"/>
    <x v="0"/>
    <n v="33.1"/>
    <n v="0"/>
    <x v="1"/>
    <x v="0"/>
    <n v="7345.0839999999998"/>
    <x v="2"/>
    <x v="1"/>
    <s v="No"/>
  </r>
  <r>
    <n v="60"/>
    <x v="1"/>
    <n v="29.64"/>
    <n v="0"/>
    <x v="1"/>
    <x v="3"/>
    <n v="12730.999599999999"/>
    <x v="3"/>
    <x v="0"/>
    <s v="No"/>
  </r>
  <r>
    <n v="56"/>
    <x v="0"/>
    <n v="25.65"/>
    <n v="0"/>
    <x v="1"/>
    <x v="2"/>
    <n v="11454.021500000001"/>
    <x v="4"/>
    <x v="0"/>
    <s v="No"/>
  </r>
  <r>
    <n v="40"/>
    <x v="0"/>
    <n v="29.6"/>
    <n v="0"/>
    <x v="1"/>
    <x v="0"/>
    <n v="5910.9440000000004"/>
    <x v="2"/>
    <x v="0"/>
    <s v="No"/>
  </r>
  <r>
    <n v="35"/>
    <x v="1"/>
    <n v="38.6"/>
    <n v="1"/>
    <x v="1"/>
    <x v="0"/>
    <n v="4762.3289999999997"/>
    <x v="1"/>
    <x v="1"/>
    <s v="No"/>
  </r>
  <r>
    <n v="39"/>
    <x v="1"/>
    <n v="29.6"/>
    <n v="4"/>
    <x v="1"/>
    <x v="0"/>
    <n v="7512.2669999999998"/>
    <x v="1"/>
    <x v="0"/>
    <s v="No"/>
  </r>
  <r>
    <n v="30"/>
    <x v="1"/>
    <n v="24.13"/>
    <n v="1"/>
    <x v="1"/>
    <x v="2"/>
    <n v="4032.2406999999998"/>
    <x v="1"/>
    <x v="2"/>
    <s v="No"/>
  </r>
  <r>
    <n v="24"/>
    <x v="1"/>
    <n v="23.4"/>
    <n v="0"/>
    <x v="1"/>
    <x v="0"/>
    <n v="1969.614"/>
    <x v="0"/>
    <x v="2"/>
    <s v="No"/>
  </r>
  <r>
    <n v="20"/>
    <x v="1"/>
    <n v="29.734999999999999"/>
    <n v="0"/>
    <x v="1"/>
    <x v="2"/>
    <n v="1769.5316499999999"/>
    <x v="0"/>
    <x v="0"/>
    <s v="No"/>
  </r>
  <r>
    <n v="32"/>
    <x v="1"/>
    <n v="46.53"/>
    <n v="2"/>
    <x v="1"/>
    <x v="1"/>
    <n v="4686.3887000000004"/>
    <x v="1"/>
    <x v="1"/>
    <s v="No"/>
  </r>
  <r>
    <n v="59"/>
    <x v="1"/>
    <n v="37.4"/>
    <n v="0"/>
    <x v="1"/>
    <x v="0"/>
    <n v="21797.000400000001"/>
    <x v="4"/>
    <x v="1"/>
    <s v="Yes"/>
  </r>
  <r>
    <n v="55"/>
    <x v="0"/>
    <n v="30.14"/>
    <n v="2"/>
    <x v="1"/>
    <x v="1"/>
    <n v="11881.9696"/>
    <x v="4"/>
    <x v="1"/>
    <s v="No"/>
  </r>
  <r>
    <n v="57"/>
    <x v="0"/>
    <n v="30.495000000000001"/>
    <n v="0"/>
    <x v="1"/>
    <x v="2"/>
    <n v="11840.77505"/>
    <x v="4"/>
    <x v="1"/>
    <s v="No"/>
  </r>
  <r>
    <n v="56"/>
    <x v="1"/>
    <n v="39.6"/>
    <n v="0"/>
    <x v="1"/>
    <x v="0"/>
    <n v="10601.412"/>
    <x v="4"/>
    <x v="1"/>
    <s v="No"/>
  </r>
  <r>
    <n v="40"/>
    <x v="0"/>
    <n v="33"/>
    <n v="3"/>
    <x v="1"/>
    <x v="1"/>
    <n v="7682.67"/>
    <x v="2"/>
    <x v="1"/>
    <s v="No"/>
  </r>
  <r>
    <n v="49"/>
    <x v="0"/>
    <n v="36.630000000000003"/>
    <n v="3"/>
    <x v="1"/>
    <x v="1"/>
    <n v="10381.4787"/>
    <x v="2"/>
    <x v="1"/>
    <s v="No"/>
  </r>
  <r>
    <n v="42"/>
    <x v="1"/>
    <n v="30"/>
    <n v="0"/>
    <x v="0"/>
    <x v="0"/>
    <n v="22144.031999999999"/>
    <x v="2"/>
    <x v="1"/>
    <s v="Yes"/>
  </r>
  <r>
    <n v="62"/>
    <x v="0"/>
    <n v="38.094999999999999"/>
    <n v="2"/>
    <x v="1"/>
    <x v="3"/>
    <n v="15230.324049999999"/>
    <x v="3"/>
    <x v="1"/>
    <s v="No"/>
  </r>
  <r>
    <n v="56"/>
    <x v="1"/>
    <n v="25.934999999999999"/>
    <n v="0"/>
    <x v="1"/>
    <x v="3"/>
    <n v="11165.417649999999"/>
    <x v="4"/>
    <x v="0"/>
    <s v="No"/>
  </r>
  <r>
    <n v="19"/>
    <x v="1"/>
    <n v="25.175000000000001"/>
    <n v="0"/>
    <x v="1"/>
    <x v="2"/>
    <n v="1632.0362500000001"/>
    <x v="0"/>
    <x v="0"/>
    <s v="No"/>
  </r>
  <r>
    <n v="30"/>
    <x v="0"/>
    <n v="28.38"/>
    <n v="1"/>
    <x v="0"/>
    <x v="1"/>
    <n v="19521.968199999999"/>
    <x v="1"/>
    <x v="0"/>
    <s v="No"/>
  </r>
  <r>
    <n v="60"/>
    <x v="0"/>
    <n v="28.7"/>
    <n v="1"/>
    <x v="1"/>
    <x v="0"/>
    <n v="13224.692999999999"/>
    <x v="3"/>
    <x v="0"/>
    <s v="No"/>
  </r>
  <r>
    <n v="56"/>
    <x v="0"/>
    <n v="33.82"/>
    <n v="2"/>
    <x v="1"/>
    <x v="2"/>
    <n v="12643.3778"/>
    <x v="4"/>
    <x v="1"/>
    <s v="No"/>
  </r>
  <r>
    <n v="28"/>
    <x v="0"/>
    <n v="24.32"/>
    <n v="1"/>
    <x v="1"/>
    <x v="3"/>
    <n v="23288.928400000001"/>
    <x v="0"/>
    <x v="2"/>
    <s v="Yes"/>
  </r>
  <r>
    <n v="18"/>
    <x v="0"/>
    <n v="24.09"/>
    <n v="1"/>
    <x v="1"/>
    <x v="1"/>
    <n v="2201.0971"/>
    <x v="0"/>
    <x v="2"/>
    <s v="No"/>
  </r>
  <r>
    <n v="27"/>
    <x v="1"/>
    <n v="32.67"/>
    <n v="0"/>
    <x v="1"/>
    <x v="1"/>
    <n v="2497.0383000000002"/>
    <x v="0"/>
    <x v="1"/>
    <s v="No"/>
  </r>
  <r>
    <n v="18"/>
    <x v="0"/>
    <n v="30.114999999999998"/>
    <n v="0"/>
    <x v="1"/>
    <x v="3"/>
    <n v="2203.4718499999999"/>
    <x v="0"/>
    <x v="1"/>
    <s v="No"/>
  </r>
  <r>
    <n v="19"/>
    <x v="0"/>
    <n v="29.8"/>
    <n v="0"/>
    <x v="1"/>
    <x v="0"/>
    <n v="1744.4649999999999"/>
    <x v="0"/>
    <x v="0"/>
    <s v="No"/>
  </r>
  <r>
    <n v="47"/>
    <x v="0"/>
    <n v="33.344999999999999"/>
    <n v="0"/>
    <x v="1"/>
    <x v="3"/>
    <n v="20878.78443"/>
    <x v="2"/>
    <x v="1"/>
    <s v="Yes"/>
  </r>
  <r>
    <n v="54"/>
    <x v="1"/>
    <n v="25.1"/>
    <n v="3"/>
    <x v="0"/>
    <x v="0"/>
    <n v="25382.296999999999"/>
    <x v="4"/>
    <x v="0"/>
    <s v="Yes"/>
  </r>
  <r>
    <n v="61"/>
    <x v="1"/>
    <n v="28.31"/>
    <n v="1"/>
    <x v="0"/>
    <x v="2"/>
    <n v="28868.6639"/>
    <x v="3"/>
    <x v="0"/>
    <s v="Yes"/>
  </r>
  <r>
    <n v="24"/>
    <x v="1"/>
    <n v="28.5"/>
    <n v="0"/>
    <x v="0"/>
    <x v="3"/>
    <n v="35147.528480000001"/>
    <x v="0"/>
    <x v="0"/>
    <s v="Yes"/>
  </r>
  <r>
    <n v="25"/>
    <x v="1"/>
    <n v="35.625"/>
    <n v="0"/>
    <x v="1"/>
    <x v="2"/>
    <n v="2534.3937500000002"/>
    <x v="0"/>
    <x v="1"/>
    <s v="No"/>
  </r>
  <r>
    <n v="21"/>
    <x v="1"/>
    <n v="36.85"/>
    <n v="0"/>
    <x v="1"/>
    <x v="1"/>
    <n v="1534.3045"/>
    <x v="0"/>
    <x v="1"/>
    <s v="No"/>
  </r>
  <r>
    <n v="23"/>
    <x v="1"/>
    <n v="32.56"/>
    <n v="0"/>
    <x v="1"/>
    <x v="1"/>
    <n v="1824.2854"/>
    <x v="0"/>
    <x v="1"/>
    <s v="No"/>
  </r>
  <r>
    <n v="63"/>
    <x v="1"/>
    <n v="41.325000000000003"/>
    <n v="3"/>
    <x v="1"/>
    <x v="2"/>
    <n v="15555.188749999999"/>
    <x v="3"/>
    <x v="1"/>
    <s v="No"/>
  </r>
  <r>
    <n v="49"/>
    <x v="1"/>
    <n v="37.51"/>
    <n v="2"/>
    <x v="1"/>
    <x v="1"/>
    <n v="9304.7019"/>
    <x v="2"/>
    <x v="1"/>
    <s v="No"/>
  </r>
  <r>
    <n v="18"/>
    <x v="0"/>
    <n v="31.35"/>
    <n v="0"/>
    <x v="1"/>
    <x v="1"/>
    <n v="1622.1885"/>
    <x v="0"/>
    <x v="1"/>
    <s v="No"/>
  </r>
  <r>
    <n v="51"/>
    <x v="0"/>
    <n v="39.5"/>
    <n v="1"/>
    <x v="1"/>
    <x v="0"/>
    <n v="9880.0679999999993"/>
    <x v="4"/>
    <x v="1"/>
    <s v="No"/>
  </r>
  <r>
    <n v="48"/>
    <x v="1"/>
    <n v="34.299999999999997"/>
    <n v="3"/>
    <x v="1"/>
    <x v="0"/>
    <n v="9563.0290000000005"/>
    <x v="2"/>
    <x v="1"/>
    <s v="No"/>
  </r>
  <r>
    <n v="31"/>
    <x v="0"/>
    <n v="31.065000000000001"/>
    <n v="0"/>
    <x v="1"/>
    <x v="3"/>
    <n v="4347.0233500000004"/>
    <x v="1"/>
    <x v="1"/>
    <s v="No"/>
  </r>
  <r>
    <n v="54"/>
    <x v="0"/>
    <n v="21.47"/>
    <n v="3"/>
    <x v="1"/>
    <x v="2"/>
    <n v="12475.3513"/>
    <x v="4"/>
    <x v="2"/>
    <s v="No"/>
  </r>
  <r>
    <n v="19"/>
    <x v="1"/>
    <n v="28.7"/>
    <n v="0"/>
    <x v="1"/>
    <x v="0"/>
    <n v="1253.9359999999999"/>
    <x v="0"/>
    <x v="0"/>
    <s v="No"/>
  </r>
  <r>
    <n v="44"/>
    <x v="0"/>
    <n v="38.06"/>
    <n v="0"/>
    <x v="0"/>
    <x v="1"/>
    <n v="48885.135609999998"/>
    <x v="2"/>
    <x v="1"/>
    <s v="Yes"/>
  </r>
  <r>
    <n v="53"/>
    <x v="1"/>
    <n v="31.16"/>
    <n v="1"/>
    <x v="1"/>
    <x v="2"/>
    <n v="10461.9794"/>
    <x v="4"/>
    <x v="1"/>
    <s v="No"/>
  </r>
  <r>
    <n v="19"/>
    <x v="0"/>
    <n v="32.9"/>
    <n v="0"/>
    <x v="1"/>
    <x v="0"/>
    <n v="1748.7739999999999"/>
    <x v="0"/>
    <x v="1"/>
    <s v="No"/>
  </r>
  <r>
    <n v="61"/>
    <x v="0"/>
    <n v="25.08"/>
    <n v="0"/>
    <x v="1"/>
    <x v="1"/>
    <n v="24513.091260000001"/>
    <x v="3"/>
    <x v="0"/>
    <s v="Yes"/>
  </r>
  <r>
    <n v="18"/>
    <x v="0"/>
    <n v="25.08"/>
    <n v="0"/>
    <x v="1"/>
    <x v="3"/>
    <n v="2196.4731999999999"/>
    <x v="0"/>
    <x v="0"/>
    <s v="No"/>
  </r>
  <r>
    <n v="61"/>
    <x v="1"/>
    <n v="43.4"/>
    <n v="0"/>
    <x v="1"/>
    <x v="0"/>
    <n v="12574.049000000001"/>
    <x v="3"/>
    <x v="1"/>
    <s v="No"/>
  </r>
  <r>
    <n v="21"/>
    <x v="1"/>
    <n v="25.7"/>
    <n v="4"/>
    <x v="0"/>
    <x v="0"/>
    <n v="17942.106"/>
    <x v="0"/>
    <x v="0"/>
    <s v="No"/>
  </r>
  <r>
    <n v="20"/>
    <x v="1"/>
    <n v="27.93"/>
    <n v="0"/>
    <x v="1"/>
    <x v="3"/>
    <n v="1967.0227"/>
    <x v="0"/>
    <x v="0"/>
    <s v="No"/>
  </r>
  <r>
    <n v="31"/>
    <x v="0"/>
    <n v="23.6"/>
    <n v="2"/>
    <x v="1"/>
    <x v="0"/>
    <n v="4931.6469999999999"/>
    <x v="1"/>
    <x v="2"/>
    <s v="No"/>
  </r>
  <r>
    <n v="45"/>
    <x v="1"/>
    <n v="28.7"/>
    <n v="2"/>
    <x v="1"/>
    <x v="0"/>
    <n v="8027.9679999999998"/>
    <x v="2"/>
    <x v="0"/>
    <s v="No"/>
  </r>
  <r>
    <n v="44"/>
    <x v="0"/>
    <n v="23.98"/>
    <n v="2"/>
    <x v="1"/>
    <x v="1"/>
    <n v="8211.1002000000008"/>
    <x v="2"/>
    <x v="2"/>
    <s v="No"/>
  </r>
  <r>
    <n v="62"/>
    <x v="0"/>
    <n v="39.200000000000003"/>
    <n v="0"/>
    <x v="1"/>
    <x v="0"/>
    <n v="13470.86"/>
    <x v="3"/>
    <x v="1"/>
    <s v="No"/>
  </r>
  <r>
    <n v="29"/>
    <x v="1"/>
    <n v="34.4"/>
    <n v="0"/>
    <x v="0"/>
    <x v="0"/>
    <n v="36197.699000000001"/>
    <x v="0"/>
    <x v="1"/>
    <s v="Yes"/>
  </r>
  <r>
    <n v="43"/>
    <x v="1"/>
    <n v="26.03"/>
    <n v="0"/>
    <x v="1"/>
    <x v="3"/>
    <n v="6837.3687"/>
    <x v="2"/>
    <x v="0"/>
    <s v="No"/>
  </r>
  <r>
    <n v="51"/>
    <x v="1"/>
    <n v="23.21"/>
    <n v="1"/>
    <x v="0"/>
    <x v="1"/>
    <n v="22218.1149"/>
    <x v="4"/>
    <x v="2"/>
    <s v="Yes"/>
  </r>
  <r>
    <n v="19"/>
    <x v="1"/>
    <n v="30.25"/>
    <n v="0"/>
    <x v="0"/>
    <x v="1"/>
    <n v="32548.340499999998"/>
    <x v="0"/>
    <x v="1"/>
    <s v="Yes"/>
  </r>
  <r>
    <n v="38"/>
    <x v="0"/>
    <n v="28.93"/>
    <n v="1"/>
    <x v="1"/>
    <x v="1"/>
    <n v="5974.3846999999996"/>
    <x v="1"/>
    <x v="0"/>
    <s v="No"/>
  </r>
  <r>
    <n v="37"/>
    <x v="1"/>
    <n v="30.875"/>
    <n v="3"/>
    <x v="1"/>
    <x v="2"/>
    <n v="6796.8632500000003"/>
    <x v="1"/>
    <x v="1"/>
    <s v="No"/>
  </r>
  <r>
    <n v="22"/>
    <x v="1"/>
    <n v="31.35"/>
    <n v="1"/>
    <x v="1"/>
    <x v="2"/>
    <n v="2643.2685000000001"/>
    <x v="0"/>
    <x v="1"/>
    <s v="No"/>
  </r>
  <r>
    <n v="21"/>
    <x v="1"/>
    <n v="23.75"/>
    <n v="2"/>
    <x v="1"/>
    <x v="2"/>
    <n v="3077.0954999999999"/>
    <x v="0"/>
    <x v="2"/>
    <s v="No"/>
  </r>
  <r>
    <n v="24"/>
    <x v="0"/>
    <n v="25.27"/>
    <n v="0"/>
    <x v="1"/>
    <x v="3"/>
    <n v="3044.2132999999999"/>
    <x v="0"/>
    <x v="0"/>
    <s v="No"/>
  </r>
  <r>
    <n v="57"/>
    <x v="0"/>
    <n v="28.7"/>
    <n v="0"/>
    <x v="1"/>
    <x v="0"/>
    <n v="11455.28"/>
    <x v="4"/>
    <x v="0"/>
    <s v="No"/>
  </r>
  <r>
    <n v="56"/>
    <x v="1"/>
    <n v="32.11"/>
    <n v="1"/>
    <x v="1"/>
    <x v="3"/>
    <n v="11763.000899999999"/>
    <x v="4"/>
    <x v="1"/>
    <s v="No"/>
  </r>
  <r>
    <n v="27"/>
    <x v="1"/>
    <n v="33.659999999999997"/>
    <n v="0"/>
    <x v="1"/>
    <x v="1"/>
    <n v="2498.4144000000001"/>
    <x v="0"/>
    <x v="1"/>
    <s v="No"/>
  </r>
  <r>
    <n v="51"/>
    <x v="1"/>
    <n v="22.42"/>
    <n v="0"/>
    <x v="1"/>
    <x v="3"/>
    <n v="9361.3268000000007"/>
    <x v="4"/>
    <x v="2"/>
    <s v="No"/>
  </r>
  <r>
    <n v="19"/>
    <x v="1"/>
    <n v="30.4"/>
    <n v="0"/>
    <x v="1"/>
    <x v="0"/>
    <n v="1256.299"/>
    <x v="0"/>
    <x v="1"/>
    <s v="No"/>
  </r>
  <r>
    <n v="39"/>
    <x v="1"/>
    <n v="28.3"/>
    <n v="1"/>
    <x v="0"/>
    <x v="0"/>
    <n v="21082.16"/>
    <x v="1"/>
    <x v="0"/>
    <s v="Yes"/>
  </r>
  <r>
    <n v="58"/>
    <x v="1"/>
    <n v="35.700000000000003"/>
    <n v="0"/>
    <x v="1"/>
    <x v="0"/>
    <n v="11362.754999999999"/>
    <x v="4"/>
    <x v="1"/>
    <s v="No"/>
  </r>
  <r>
    <n v="20"/>
    <x v="1"/>
    <n v="35.31"/>
    <n v="1"/>
    <x v="1"/>
    <x v="1"/>
    <n v="27724.28875"/>
    <x v="0"/>
    <x v="1"/>
    <s v="Yes"/>
  </r>
  <r>
    <n v="45"/>
    <x v="1"/>
    <n v="30.495000000000001"/>
    <n v="2"/>
    <x v="1"/>
    <x v="2"/>
    <n v="8413.4630500000003"/>
    <x v="2"/>
    <x v="1"/>
    <s v="No"/>
  </r>
  <r>
    <n v="35"/>
    <x v="0"/>
    <n v="31"/>
    <n v="1"/>
    <x v="1"/>
    <x v="0"/>
    <n v="5240.7650000000003"/>
    <x v="1"/>
    <x v="1"/>
    <s v="No"/>
  </r>
  <r>
    <n v="31"/>
    <x v="1"/>
    <n v="30.875"/>
    <n v="0"/>
    <x v="1"/>
    <x v="3"/>
    <n v="3857.7592500000001"/>
    <x v="1"/>
    <x v="1"/>
    <s v="No"/>
  </r>
  <r>
    <n v="50"/>
    <x v="0"/>
    <n v="27.36"/>
    <n v="0"/>
    <x v="1"/>
    <x v="3"/>
    <n v="25656.575260000001"/>
    <x v="4"/>
    <x v="0"/>
    <s v="Yes"/>
  </r>
  <r>
    <n v="32"/>
    <x v="0"/>
    <n v="44.22"/>
    <n v="0"/>
    <x v="1"/>
    <x v="1"/>
    <n v="3994.1777999999999"/>
    <x v="1"/>
    <x v="1"/>
    <s v="No"/>
  </r>
  <r>
    <n v="51"/>
    <x v="0"/>
    <n v="33.914999999999999"/>
    <n v="0"/>
    <x v="1"/>
    <x v="3"/>
    <n v="9866.3048500000004"/>
    <x v="4"/>
    <x v="1"/>
    <s v="No"/>
  </r>
  <r>
    <n v="38"/>
    <x v="0"/>
    <n v="37.729999999999997"/>
    <n v="0"/>
    <x v="1"/>
    <x v="1"/>
    <n v="5397.6166999999996"/>
    <x v="1"/>
    <x v="1"/>
    <s v="No"/>
  </r>
  <r>
    <n v="42"/>
    <x v="1"/>
    <n v="26.07"/>
    <n v="1"/>
    <x v="0"/>
    <x v="1"/>
    <n v="38245.593269999998"/>
    <x v="2"/>
    <x v="0"/>
    <s v="Yes"/>
  </r>
  <r>
    <n v="18"/>
    <x v="0"/>
    <n v="33.880000000000003"/>
    <n v="0"/>
    <x v="1"/>
    <x v="1"/>
    <n v="11482.63485"/>
    <x v="0"/>
    <x v="1"/>
    <s v="No"/>
  </r>
  <r>
    <n v="19"/>
    <x v="0"/>
    <n v="30.59"/>
    <n v="2"/>
    <x v="1"/>
    <x v="2"/>
    <n v="24059.680189999999"/>
    <x v="0"/>
    <x v="1"/>
    <s v="Yes"/>
  </r>
  <r>
    <n v="51"/>
    <x v="0"/>
    <n v="25.8"/>
    <n v="1"/>
    <x v="1"/>
    <x v="0"/>
    <n v="9861.0249999999996"/>
    <x v="4"/>
    <x v="0"/>
    <s v="No"/>
  </r>
  <r>
    <n v="46"/>
    <x v="1"/>
    <n v="39.424999999999997"/>
    <n v="1"/>
    <x v="1"/>
    <x v="3"/>
    <n v="8342.9087500000005"/>
    <x v="2"/>
    <x v="1"/>
    <s v="No"/>
  </r>
  <r>
    <n v="18"/>
    <x v="1"/>
    <n v="25.46"/>
    <n v="0"/>
    <x v="1"/>
    <x v="3"/>
    <n v="1708.0014000000001"/>
    <x v="0"/>
    <x v="0"/>
    <s v="No"/>
  </r>
  <r>
    <n v="57"/>
    <x v="1"/>
    <n v="42.13"/>
    <n v="1"/>
    <x v="0"/>
    <x v="1"/>
    <n v="48675.517699999997"/>
    <x v="4"/>
    <x v="1"/>
    <s v="Yes"/>
  </r>
  <r>
    <n v="62"/>
    <x v="0"/>
    <n v="31.73"/>
    <n v="0"/>
    <x v="1"/>
    <x v="3"/>
    <n v="14043.476699999999"/>
    <x v="3"/>
    <x v="1"/>
    <s v="No"/>
  </r>
  <r>
    <n v="59"/>
    <x v="1"/>
    <n v="29.7"/>
    <n v="2"/>
    <x v="1"/>
    <x v="1"/>
    <n v="12925.886"/>
    <x v="4"/>
    <x v="0"/>
    <s v="No"/>
  </r>
  <r>
    <n v="37"/>
    <x v="1"/>
    <n v="36.19"/>
    <n v="0"/>
    <x v="1"/>
    <x v="1"/>
    <n v="19214.705529999999"/>
    <x v="1"/>
    <x v="1"/>
    <s v="No"/>
  </r>
  <r>
    <n v="64"/>
    <x v="1"/>
    <n v="40.479999999999997"/>
    <n v="0"/>
    <x v="1"/>
    <x v="1"/>
    <n v="13831.1152"/>
    <x v="3"/>
    <x v="1"/>
    <s v="No"/>
  </r>
  <r>
    <n v="38"/>
    <x v="1"/>
    <n v="28.024999999999999"/>
    <n v="1"/>
    <x v="1"/>
    <x v="3"/>
    <n v="6067.1267500000004"/>
    <x v="1"/>
    <x v="0"/>
    <s v="No"/>
  </r>
  <r>
    <n v="33"/>
    <x v="0"/>
    <n v="38.9"/>
    <n v="3"/>
    <x v="1"/>
    <x v="0"/>
    <n v="5972.3779999999997"/>
    <x v="1"/>
    <x v="1"/>
    <s v="No"/>
  </r>
  <r>
    <n v="46"/>
    <x v="0"/>
    <n v="30.2"/>
    <n v="2"/>
    <x v="1"/>
    <x v="0"/>
    <n v="8825.0859999999993"/>
    <x v="2"/>
    <x v="1"/>
    <s v="No"/>
  </r>
  <r>
    <n v="46"/>
    <x v="0"/>
    <n v="28.05"/>
    <n v="1"/>
    <x v="1"/>
    <x v="1"/>
    <n v="8233.0974999999999"/>
    <x v="2"/>
    <x v="0"/>
    <s v="No"/>
  </r>
  <r>
    <n v="53"/>
    <x v="1"/>
    <n v="31.35"/>
    <n v="0"/>
    <x v="1"/>
    <x v="1"/>
    <n v="27346.04207"/>
    <x v="4"/>
    <x v="1"/>
    <s v="Yes"/>
  </r>
  <r>
    <n v="34"/>
    <x v="0"/>
    <n v="38"/>
    <n v="3"/>
    <x v="1"/>
    <x v="0"/>
    <n v="6196.4480000000003"/>
    <x v="1"/>
    <x v="1"/>
    <s v="No"/>
  </r>
  <r>
    <n v="20"/>
    <x v="0"/>
    <n v="31.79"/>
    <n v="2"/>
    <x v="1"/>
    <x v="1"/>
    <n v="3056.3881000000001"/>
    <x v="0"/>
    <x v="1"/>
    <s v="No"/>
  </r>
  <r>
    <n v="63"/>
    <x v="0"/>
    <n v="36.299999999999997"/>
    <n v="0"/>
    <x v="1"/>
    <x v="1"/>
    <n v="13887.204"/>
    <x v="3"/>
    <x v="1"/>
    <s v="No"/>
  </r>
  <r>
    <n v="54"/>
    <x v="0"/>
    <n v="47.41"/>
    <n v="0"/>
    <x v="0"/>
    <x v="1"/>
    <n v="63770.428010000003"/>
    <x v="4"/>
    <x v="1"/>
    <s v="Yes"/>
  </r>
  <r>
    <n v="54"/>
    <x v="1"/>
    <n v="30.21"/>
    <n v="0"/>
    <x v="1"/>
    <x v="2"/>
    <n v="10231.499900000001"/>
    <x v="4"/>
    <x v="1"/>
    <s v="No"/>
  </r>
  <r>
    <n v="49"/>
    <x v="1"/>
    <n v="25.84"/>
    <n v="2"/>
    <x v="0"/>
    <x v="2"/>
    <n v="23807.240600000001"/>
    <x v="2"/>
    <x v="0"/>
    <s v="Yes"/>
  </r>
  <r>
    <n v="28"/>
    <x v="1"/>
    <n v="35.435000000000002"/>
    <n v="0"/>
    <x v="1"/>
    <x v="3"/>
    <n v="3268.84665"/>
    <x v="0"/>
    <x v="1"/>
    <s v="No"/>
  </r>
  <r>
    <n v="54"/>
    <x v="0"/>
    <n v="46.7"/>
    <n v="2"/>
    <x v="1"/>
    <x v="0"/>
    <n v="11538.421"/>
    <x v="4"/>
    <x v="1"/>
    <s v="No"/>
  </r>
  <r>
    <n v="25"/>
    <x v="0"/>
    <n v="28.594999999999999"/>
    <n v="0"/>
    <x v="1"/>
    <x v="3"/>
    <n v="3213.6220499999999"/>
    <x v="0"/>
    <x v="0"/>
    <s v="No"/>
  </r>
  <r>
    <n v="43"/>
    <x v="0"/>
    <n v="46.2"/>
    <n v="0"/>
    <x v="0"/>
    <x v="1"/>
    <n v="45863.205000000002"/>
    <x v="2"/>
    <x v="1"/>
    <s v="Yes"/>
  </r>
  <r>
    <n v="63"/>
    <x v="1"/>
    <n v="30.8"/>
    <n v="0"/>
    <x v="1"/>
    <x v="0"/>
    <n v="13390.558999999999"/>
    <x v="3"/>
    <x v="1"/>
    <s v="No"/>
  </r>
  <r>
    <n v="32"/>
    <x v="0"/>
    <n v="28.93"/>
    <n v="0"/>
    <x v="1"/>
    <x v="1"/>
    <n v="3972.9247"/>
    <x v="1"/>
    <x v="0"/>
    <s v="No"/>
  </r>
  <r>
    <n v="62"/>
    <x v="1"/>
    <n v="21.4"/>
    <n v="0"/>
    <x v="1"/>
    <x v="0"/>
    <n v="12957.118"/>
    <x v="3"/>
    <x v="2"/>
    <s v="No"/>
  </r>
  <r>
    <n v="52"/>
    <x v="0"/>
    <n v="31.73"/>
    <n v="2"/>
    <x v="1"/>
    <x v="2"/>
    <n v="11187.6567"/>
    <x v="4"/>
    <x v="1"/>
    <s v="No"/>
  </r>
  <r>
    <n v="25"/>
    <x v="0"/>
    <n v="41.325000000000003"/>
    <n v="0"/>
    <x v="1"/>
    <x v="3"/>
    <n v="17878.900679999999"/>
    <x v="0"/>
    <x v="1"/>
    <s v="No"/>
  </r>
  <r>
    <n v="28"/>
    <x v="1"/>
    <n v="23.8"/>
    <n v="2"/>
    <x v="1"/>
    <x v="0"/>
    <n v="3847.674"/>
    <x v="0"/>
    <x v="2"/>
    <s v="No"/>
  </r>
  <r>
    <n v="46"/>
    <x v="1"/>
    <n v="33.44"/>
    <n v="1"/>
    <x v="1"/>
    <x v="3"/>
    <n v="8334.5895999999993"/>
    <x v="2"/>
    <x v="1"/>
    <s v="No"/>
  </r>
  <r>
    <n v="34"/>
    <x v="1"/>
    <n v="34.21"/>
    <n v="0"/>
    <x v="1"/>
    <x v="1"/>
    <n v="3935.1799000000001"/>
    <x v="1"/>
    <x v="1"/>
    <s v="No"/>
  </r>
  <r>
    <n v="35"/>
    <x v="0"/>
    <n v="34.104999999999997"/>
    <n v="3"/>
    <x v="0"/>
    <x v="2"/>
    <n v="39983.425949999997"/>
    <x v="1"/>
    <x v="1"/>
    <s v="Yes"/>
  </r>
  <r>
    <n v="19"/>
    <x v="1"/>
    <n v="35.53"/>
    <n v="0"/>
    <x v="1"/>
    <x v="2"/>
    <n v="1646.4296999999999"/>
    <x v="0"/>
    <x v="1"/>
    <s v="No"/>
  </r>
  <r>
    <n v="46"/>
    <x v="0"/>
    <n v="19.95"/>
    <n v="2"/>
    <x v="1"/>
    <x v="2"/>
    <n v="9193.8384999999998"/>
    <x v="2"/>
    <x v="2"/>
    <s v="No"/>
  </r>
  <r>
    <n v="54"/>
    <x v="0"/>
    <n v="32.68"/>
    <n v="0"/>
    <x v="1"/>
    <x v="3"/>
    <n v="10923.933199999999"/>
    <x v="4"/>
    <x v="1"/>
    <s v="No"/>
  </r>
  <r>
    <n v="27"/>
    <x v="1"/>
    <n v="30.5"/>
    <n v="0"/>
    <x v="1"/>
    <x v="0"/>
    <n v="2494.0219999999999"/>
    <x v="0"/>
    <x v="1"/>
    <s v="No"/>
  </r>
  <r>
    <n v="50"/>
    <x v="1"/>
    <n v="44.77"/>
    <n v="1"/>
    <x v="1"/>
    <x v="1"/>
    <n v="9058.7302999999993"/>
    <x v="4"/>
    <x v="1"/>
    <s v="No"/>
  </r>
  <r>
    <n v="18"/>
    <x v="0"/>
    <n v="32.119999999999997"/>
    <n v="2"/>
    <x v="1"/>
    <x v="1"/>
    <n v="2801.2588000000001"/>
    <x v="0"/>
    <x v="1"/>
    <s v="No"/>
  </r>
  <r>
    <n v="19"/>
    <x v="0"/>
    <n v="30.495000000000001"/>
    <n v="0"/>
    <x v="1"/>
    <x v="2"/>
    <n v="2128.4310500000001"/>
    <x v="0"/>
    <x v="1"/>
    <s v="No"/>
  </r>
  <r>
    <n v="38"/>
    <x v="0"/>
    <n v="40.564999999999998"/>
    <n v="1"/>
    <x v="1"/>
    <x v="2"/>
    <n v="6373.55735"/>
    <x v="1"/>
    <x v="1"/>
    <s v="No"/>
  </r>
  <r>
    <n v="41"/>
    <x v="1"/>
    <n v="30.59"/>
    <n v="2"/>
    <x v="1"/>
    <x v="2"/>
    <n v="7256.7231000000002"/>
    <x v="2"/>
    <x v="1"/>
    <s v="No"/>
  </r>
  <r>
    <n v="49"/>
    <x v="0"/>
    <n v="31.9"/>
    <n v="5"/>
    <x v="1"/>
    <x v="0"/>
    <n v="11552.904"/>
    <x v="2"/>
    <x v="1"/>
    <s v="No"/>
  </r>
  <r>
    <n v="48"/>
    <x v="1"/>
    <n v="40.564999999999998"/>
    <n v="2"/>
    <x v="0"/>
    <x v="2"/>
    <n v="45702.022349999999"/>
    <x v="2"/>
    <x v="1"/>
    <s v="Yes"/>
  </r>
  <r>
    <n v="31"/>
    <x v="0"/>
    <n v="29.1"/>
    <n v="0"/>
    <x v="1"/>
    <x v="0"/>
    <n v="3761.2919999999999"/>
    <x v="1"/>
    <x v="0"/>
    <s v="No"/>
  </r>
  <r>
    <n v="18"/>
    <x v="0"/>
    <n v="37.29"/>
    <n v="1"/>
    <x v="1"/>
    <x v="1"/>
    <n v="2219.4450999999999"/>
    <x v="0"/>
    <x v="1"/>
    <s v="No"/>
  </r>
  <r>
    <n v="30"/>
    <x v="0"/>
    <n v="43.12"/>
    <n v="2"/>
    <x v="1"/>
    <x v="1"/>
    <n v="4753.6368000000002"/>
    <x v="1"/>
    <x v="1"/>
    <s v="No"/>
  </r>
  <r>
    <n v="62"/>
    <x v="0"/>
    <n v="36.86"/>
    <n v="1"/>
    <x v="1"/>
    <x v="3"/>
    <n v="31620.001059999999"/>
    <x v="3"/>
    <x v="1"/>
    <s v="Yes"/>
  </r>
  <r>
    <n v="57"/>
    <x v="0"/>
    <n v="34.295000000000002"/>
    <n v="2"/>
    <x v="1"/>
    <x v="3"/>
    <n v="13224.057049999999"/>
    <x v="4"/>
    <x v="1"/>
    <s v="No"/>
  </r>
  <r>
    <n v="58"/>
    <x v="0"/>
    <n v="27.17"/>
    <n v="0"/>
    <x v="1"/>
    <x v="2"/>
    <n v="12222.898300000001"/>
    <x v="4"/>
    <x v="0"/>
    <s v="No"/>
  </r>
  <r>
    <n v="22"/>
    <x v="1"/>
    <n v="26.84"/>
    <n v="0"/>
    <x v="1"/>
    <x v="1"/>
    <n v="1664.9996000000001"/>
    <x v="0"/>
    <x v="0"/>
    <s v="No"/>
  </r>
  <r>
    <n v="31"/>
    <x v="0"/>
    <n v="38.094999999999999"/>
    <n v="1"/>
    <x v="0"/>
    <x v="3"/>
    <n v="58571.074480000003"/>
    <x v="1"/>
    <x v="1"/>
    <s v="Yes"/>
  </r>
  <r>
    <n v="52"/>
    <x v="1"/>
    <n v="30.2"/>
    <n v="1"/>
    <x v="1"/>
    <x v="0"/>
    <n v="9724.5300000000007"/>
    <x v="4"/>
    <x v="1"/>
    <s v="No"/>
  </r>
  <r>
    <n v="25"/>
    <x v="0"/>
    <n v="23.465"/>
    <n v="0"/>
    <x v="1"/>
    <x v="3"/>
    <n v="3206.4913499999998"/>
    <x v="0"/>
    <x v="2"/>
    <s v="No"/>
  </r>
  <r>
    <n v="59"/>
    <x v="1"/>
    <n v="25.46"/>
    <n v="1"/>
    <x v="1"/>
    <x v="3"/>
    <n v="12913.992399999999"/>
    <x v="4"/>
    <x v="0"/>
    <s v="No"/>
  </r>
  <r>
    <n v="19"/>
    <x v="1"/>
    <n v="30.59"/>
    <n v="0"/>
    <x v="1"/>
    <x v="2"/>
    <n v="1639.5631000000001"/>
    <x v="0"/>
    <x v="1"/>
    <s v="No"/>
  </r>
  <r>
    <n v="39"/>
    <x v="1"/>
    <n v="45.43"/>
    <n v="2"/>
    <x v="1"/>
    <x v="1"/>
    <n v="6356.2707"/>
    <x v="1"/>
    <x v="1"/>
    <s v="No"/>
  </r>
  <r>
    <n v="32"/>
    <x v="0"/>
    <n v="23.65"/>
    <n v="1"/>
    <x v="1"/>
    <x v="1"/>
    <n v="17626.239509999999"/>
    <x v="1"/>
    <x v="2"/>
    <s v="No"/>
  </r>
  <r>
    <n v="19"/>
    <x v="1"/>
    <n v="20.7"/>
    <n v="0"/>
    <x v="1"/>
    <x v="0"/>
    <n v="1242.816"/>
    <x v="0"/>
    <x v="2"/>
    <s v="No"/>
  </r>
  <r>
    <n v="33"/>
    <x v="0"/>
    <n v="28.27"/>
    <n v="1"/>
    <x v="1"/>
    <x v="1"/>
    <n v="4779.6022999999996"/>
    <x v="1"/>
    <x v="0"/>
    <s v="No"/>
  </r>
  <r>
    <n v="21"/>
    <x v="1"/>
    <n v="20.234999999999999"/>
    <n v="3"/>
    <x v="1"/>
    <x v="3"/>
    <n v="3861.2096499999998"/>
    <x v="0"/>
    <x v="2"/>
    <s v="No"/>
  </r>
  <r>
    <n v="34"/>
    <x v="0"/>
    <n v="30.21"/>
    <n v="1"/>
    <x v="0"/>
    <x v="2"/>
    <n v="43943.876100000001"/>
    <x v="1"/>
    <x v="1"/>
    <s v="Yes"/>
  </r>
  <r>
    <n v="61"/>
    <x v="0"/>
    <n v="35.909999999999997"/>
    <n v="0"/>
    <x v="1"/>
    <x v="3"/>
    <n v="13635.6379"/>
    <x v="3"/>
    <x v="1"/>
    <s v="No"/>
  </r>
  <r>
    <n v="38"/>
    <x v="0"/>
    <n v="30.69"/>
    <n v="1"/>
    <x v="1"/>
    <x v="1"/>
    <n v="5976.8311000000003"/>
    <x v="1"/>
    <x v="1"/>
    <s v="No"/>
  </r>
  <r>
    <n v="58"/>
    <x v="0"/>
    <n v="29"/>
    <n v="0"/>
    <x v="1"/>
    <x v="0"/>
    <n v="11842.441999999999"/>
    <x v="4"/>
    <x v="0"/>
    <s v="No"/>
  </r>
  <r>
    <n v="47"/>
    <x v="1"/>
    <n v="19.57"/>
    <n v="1"/>
    <x v="1"/>
    <x v="2"/>
    <n v="8428.0692999999992"/>
    <x v="2"/>
    <x v="2"/>
    <s v="No"/>
  </r>
  <r>
    <n v="20"/>
    <x v="1"/>
    <n v="31.13"/>
    <n v="2"/>
    <x v="1"/>
    <x v="1"/>
    <n v="2566.4706999999999"/>
    <x v="0"/>
    <x v="1"/>
    <s v="No"/>
  </r>
  <r>
    <n v="21"/>
    <x v="0"/>
    <n v="21.85"/>
    <n v="1"/>
    <x v="0"/>
    <x v="3"/>
    <n v="15359.104499999999"/>
    <x v="0"/>
    <x v="2"/>
    <s v="No"/>
  </r>
  <r>
    <n v="41"/>
    <x v="1"/>
    <n v="40.26"/>
    <n v="0"/>
    <x v="1"/>
    <x v="1"/>
    <n v="5709.1643999999997"/>
    <x v="2"/>
    <x v="1"/>
    <s v="No"/>
  </r>
  <r>
    <n v="46"/>
    <x v="0"/>
    <n v="33.725000000000001"/>
    <n v="1"/>
    <x v="1"/>
    <x v="3"/>
    <n v="8823.9857499999998"/>
    <x v="2"/>
    <x v="1"/>
    <s v="No"/>
  </r>
  <r>
    <n v="42"/>
    <x v="0"/>
    <n v="29.48"/>
    <n v="2"/>
    <x v="1"/>
    <x v="1"/>
    <n v="7640.3091999999997"/>
    <x v="2"/>
    <x v="0"/>
    <s v="No"/>
  </r>
  <r>
    <n v="34"/>
    <x v="0"/>
    <n v="33.25"/>
    <n v="1"/>
    <x v="1"/>
    <x v="3"/>
    <n v="5594.8455000000004"/>
    <x v="1"/>
    <x v="1"/>
    <s v="No"/>
  </r>
  <r>
    <n v="43"/>
    <x v="1"/>
    <n v="32.6"/>
    <n v="2"/>
    <x v="1"/>
    <x v="0"/>
    <n v="7441.5010000000002"/>
    <x v="2"/>
    <x v="1"/>
    <s v="No"/>
  </r>
  <r>
    <n v="52"/>
    <x v="0"/>
    <n v="37.524999999999999"/>
    <n v="2"/>
    <x v="1"/>
    <x v="2"/>
    <n v="33471.971890000001"/>
    <x v="4"/>
    <x v="1"/>
    <s v="Yes"/>
  </r>
  <r>
    <n v="18"/>
    <x v="0"/>
    <n v="39.159999999999997"/>
    <n v="0"/>
    <x v="1"/>
    <x v="1"/>
    <n v="1633.0444"/>
    <x v="0"/>
    <x v="1"/>
    <s v="No"/>
  </r>
  <r>
    <n v="51"/>
    <x v="1"/>
    <n v="31.635000000000002"/>
    <n v="0"/>
    <x v="1"/>
    <x v="2"/>
    <n v="9174.1356500000002"/>
    <x v="4"/>
    <x v="1"/>
    <s v="No"/>
  </r>
  <r>
    <n v="56"/>
    <x v="0"/>
    <n v="25.3"/>
    <n v="0"/>
    <x v="1"/>
    <x v="0"/>
    <n v="11070.535"/>
    <x v="4"/>
    <x v="0"/>
    <s v="No"/>
  </r>
  <r>
    <n v="64"/>
    <x v="0"/>
    <n v="39.049999999999997"/>
    <n v="3"/>
    <x v="1"/>
    <x v="1"/>
    <n v="16085.127500000001"/>
    <x v="3"/>
    <x v="1"/>
    <s v="No"/>
  </r>
  <r>
    <n v="19"/>
    <x v="0"/>
    <n v="28.31"/>
    <n v="0"/>
    <x v="0"/>
    <x v="2"/>
    <n v="17468.983899999999"/>
    <x v="0"/>
    <x v="0"/>
    <s v="No"/>
  </r>
  <r>
    <n v="51"/>
    <x v="0"/>
    <n v="34.1"/>
    <n v="0"/>
    <x v="1"/>
    <x v="1"/>
    <n v="9283.5619999999999"/>
    <x v="4"/>
    <x v="1"/>
    <s v="No"/>
  </r>
  <r>
    <n v="27"/>
    <x v="0"/>
    <n v="25.175000000000001"/>
    <n v="0"/>
    <x v="1"/>
    <x v="3"/>
    <n v="3558.6202499999999"/>
    <x v="0"/>
    <x v="0"/>
    <s v="No"/>
  </r>
  <r>
    <n v="59"/>
    <x v="0"/>
    <n v="23.655000000000001"/>
    <n v="0"/>
    <x v="0"/>
    <x v="2"/>
    <n v="25678.778450000002"/>
    <x v="4"/>
    <x v="2"/>
    <s v="Yes"/>
  </r>
  <r>
    <n v="28"/>
    <x v="1"/>
    <n v="26.98"/>
    <n v="2"/>
    <x v="1"/>
    <x v="3"/>
    <n v="4435.0941999999995"/>
    <x v="0"/>
    <x v="0"/>
    <s v="No"/>
  </r>
  <r>
    <n v="30"/>
    <x v="1"/>
    <n v="37.799999999999997"/>
    <n v="2"/>
    <x v="0"/>
    <x v="0"/>
    <n v="39241.442000000003"/>
    <x v="1"/>
    <x v="1"/>
    <s v="Yes"/>
  </r>
  <r>
    <n v="47"/>
    <x v="0"/>
    <n v="29.37"/>
    <n v="1"/>
    <x v="1"/>
    <x v="1"/>
    <n v="8547.6913000000004"/>
    <x v="2"/>
    <x v="0"/>
    <s v="No"/>
  </r>
  <r>
    <n v="38"/>
    <x v="0"/>
    <n v="34.799999999999997"/>
    <n v="2"/>
    <x v="1"/>
    <x v="0"/>
    <n v="6571.5439999999999"/>
    <x v="1"/>
    <x v="1"/>
    <s v="No"/>
  </r>
  <r>
    <n v="18"/>
    <x v="0"/>
    <n v="33.155000000000001"/>
    <n v="0"/>
    <x v="1"/>
    <x v="3"/>
    <n v="2207.6974500000001"/>
    <x v="0"/>
    <x v="1"/>
    <s v="No"/>
  </r>
  <r>
    <n v="34"/>
    <x v="0"/>
    <n v="19"/>
    <n v="3"/>
    <x v="1"/>
    <x v="3"/>
    <n v="6753.0379999999996"/>
    <x v="1"/>
    <x v="2"/>
    <s v="No"/>
  </r>
  <r>
    <n v="20"/>
    <x v="0"/>
    <n v="33"/>
    <n v="0"/>
    <x v="1"/>
    <x v="1"/>
    <n v="1880.07"/>
    <x v="0"/>
    <x v="1"/>
    <s v="No"/>
  </r>
  <r>
    <n v="47"/>
    <x v="0"/>
    <n v="36.630000000000003"/>
    <n v="1"/>
    <x v="0"/>
    <x v="1"/>
    <n v="42969.852700000003"/>
    <x v="2"/>
    <x v="1"/>
    <s v="Yes"/>
  </r>
  <r>
    <n v="56"/>
    <x v="0"/>
    <n v="28.594999999999999"/>
    <n v="0"/>
    <x v="1"/>
    <x v="3"/>
    <n v="11658.11505"/>
    <x v="4"/>
    <x v="0"/>
    <s v="No"/>
  </r>
  <r>
    <n v="49"/>
    <x v="1"/>
    <n v="25.6"/>
    <n v="2"/>
    <x v="0"/>
    <x v="0"/>
    <n v="23306.546999999999"/>
    <x v="2"/>
    <x v="0"/>
    <s v="Yes"/>
  </r>
  <r>
    <n v="19"/>
    <x v="0"/>
    <n v="33.11"/>
    <n v="0"/>
    <x v="0"/>
    <x v="1"/>
    <n v="34439.855900000002"/>
    <x v="0"/>
    <x v="1"/>
    <s v="Yes"/>
  </r>
  <r>
    <n v="55"/>
    <x v="0"/>
    <n v="37.1"/>
    <n v="0"/>
    <x v="1"/>
    <x v="0"/>
    <n v="10713.644"/>
    <x v="4"/>
    <x v="1"/>
    <s v="No"/>
  </r>
  <r>
    <n v="30"/>
    <x v="1"/>
    <n v="31.4"/>
    <n v="1"/>
    <x v="1"/>
    <x v="0"/>
    <n v="3659.346"/>
    <x v="1"/>
    <x v="1"/>
    <s v="No"/>
  </r>
  <r>
    <n v="37"/>
    <x v="1"/>
    <n v="34.1"/>
    <n v="4"/>
    <x v="0"/>
    <x v="0"/>
    <n v="40182.245999999999"/>
    <x v="1"/>
    <x v="1"/>
    <s v="Yes"/>
  </r>
  <r>
    <n v="49"/>
    <x v="0"/>
    <n v="21.3"/>
    <n v="1"/>
    <x v="1"/>
    <x v="0"/>
    <n v="9182.17"/>
    <x v="2"/>
    <x v="2"/>
    <s v="No"/>
  </r>
  <r>
    <n v="18"/>
    <x v="1"/>
    <n v="33.534999999999997"/>
    <n v="0"/>
    <x v="0"/>
    <x v="3"/>
    <n v="34617.840649999998"/>
    <x v="0"/>
    <x v="1"/>
    <s v="Yes"/>
  </r>
  <r>
    <n v="59"/>
    <x v="1"/>
    <n v="28.785"/>
    <n v="0"/>
    <x v="1"/>
    <x v="2"/>
    <n v="12129.614149999999"/>
    <x v="4"/>
    <x v="0"/>
    <s v="No"/>
  </r>
  <r>
    <n v="29"/>
    <x v="0"/>
    <n v="26.03"/>
    <n v="0"/>
    <x v="1"/>
    <x v="2"/>
    <n v="3736.4647"/>
    <x v="0"/>
    <x v="0"/>
    <s v="No"/>
  </r>
  <r>
    <n v="36"/>
    <x v="1"/>
    <n v="28.88"/>
    <n v="3"/>
    <x v="1"/>
    <x v="3"/>
    <n v="6748.5911999999998"/>
    <x v="1"/>
    <x v="0"/>
    <s v="No"/>
  </r>
  <r>
    <n v="33"/>
    <x v="1"/>
    <n v="42.46"/>
    <n v="1"/>
    <x v="1"/>
    <x v="1"/>
    <n v="11326.71487"/>
    <x v="1"/>
    <x v="1"/>
    <s v="No"/>
  </r>
  <r>
    <n v="58"/>
    <x v="1"/>
    <n v="38"/>
    <n v="0"/>
    <x v="1"/>
    <x v="0"/>
    <n v="11365.951999999999"/>
    <x v="4"/>
    <x v="1"/>
    <s v="No"/>
  </r>
  <r>
    <n v="44"/>
    <x v="0"/>
    <n v="38.950000000000003"/>
    <n v="0"/>
    <x v="0"/>
    <x v="2"/>
    <n v="42983.458500000001"/>
    <x v="2"/>
    <x v="1"/>
    <s v="Yes"/>
  </r>
  <r>
    <n v="53"/>
    <x v="1"/>
    <n v="36.1"/>
    <n v="1"/>
    <x v="1"/>
    <x v="0"/>
    <n v="10085.846"/>
    <x v="4"/>
    <x v="1"/>
    <s v="No"/>
  </r>
  <r>
    <n v="24"/>
    <x v="1"/>
    <n v="29.3"/>
    <n v="0"/>
    <x v="1"/>
    <x v="0"/>
    <n v="1977.8150000000001"/>
    <x v="0"/>
    <x v="0"/>
    <s v="No"/>
  </r>
  <r>
    <n v="29"/>
    <x v="0"/>
    <n v="35.53"/>
    <n v="0"/>
    <x v="1"/>
    <x v="1"/>
    <n v="3366.6696999999999"/>
    <x v="0"/>
    <x v="1"/>
    <s v="No"/>
  </r>
  <r>
    <n v="40"/>
    <x v="1"/>
    <n v="22.704999999999998"/>
    <n v="2"/>
    <x v="1"/>
    <x v="3"/>
    <n v="7173.35995"/>
    <x v="2"/>
    <x v="2"/>
    <s v="No"/>
  </r>
  <r>
    <n v="51"/>
    <x v="1"/>
    <n v="39.700000000000003"/>
    <n v="1"/>
    <x v="1"/>
    <x v="0"/>
    <n v="9391.3459999999995"/>
    <x v="4"/>
    <x v="1"/>
    <s v="No"/>
  </r>
  <r>
    <n v="64"/>
    <x v="1"/>
    <n v="38.19"/>
    <n v="0"/>
    <x v="1"/>
    <x v="3"/>
    <n v="14410.9321"/>
    <x v="3"/>
    <x v="1"/>
    <s v="No"/>
  </r>
  <r>
    <n v="19"/>
    <x v="0"/>
    <n v="24.51"/>
    <n v="1"/>
    <x v="1"/>
    <x v="2"/>
    <n v="2709.1118999999999"/>
    <x v="0"/>
    <x v="2"/>
    <s v="No"/>
  </r>
  <r>
    <n v="35"/>
    <x v="0"/>
    <n v="38.094999999999999"/>
    <n v="2"/>
    <x v="1"/>
    <x v="3"/>
    <n v="24915.046259999999"/>
    <x v="1"/>
    <x v="1"/>
    <s v="Yes"/>
  </r>
  <r>
    <n v="39"/>
    <x v="1"/>
    <n v="26.41"/>
    <n v="0"/>
    <x v="0"/>
    <x v="3"/>
    <n v="20149.322899999999"/>
    <x v="1"/>
    <x v="0"/>
    <s v="Yes"/>
  </r>
  <r>
    <n v="56"/>
    <x v="1"/>
    <n v="33.659999999999997"/>
    <n v="4"/>
    <x v="1"/>
    <x v="1"/>
    <n v="12949.1554"/>
    <x v="4"/>
    <x v="1"/>
    <s v="No"/>
  </r>
  <r>
    <n v="33"/>
    <x v="1"/>
    <n v="42.4"/>
    <n v="5"/>
    <x v="1"/>
    <x v="0"/>
    <n v="6666.2430000000004"/>
    <x v="1"/>
    <x v="1"/>
    <s v="No"/>
  </r>
  <r>
    <n v="42"/>
    <x v="1"/>
    <n v="28.31"/>
    <n v="3"/>
    <x v="0"/>
    <x v="2"/>
    <n v="32787.458590000002"/>
    <x v="2"/>
    <x v="0"/>
    <s v="Yes"/>
  </r>
  <r>
    <n v="61"/>
    <x v="1"/>
    <n v="33.914999999999999"/>
    <n v="0"/>
    <x v="1"/>
    <x v="3"/>
    <n v="13143.86485"/>
    <x v="3"/>
    <x v="1"/>
    <s v="No"/>
  </r>
  <r>
    <n v="23"/>
    <x v="0"/>
    <n v="34.96"/>
    <n v="3"/>
    <x v="1"/>
    <x v="2"/>
    <n v="4466.6214"/>
    <x v="0"/>
    <x v="1"/>
    <s v="No"/>
  </r>
  <r>
    <n v="43"/>
    <x v="1"/>
    <n v="35.31"/>
    <n v="2"/>
    <x v="1"/>
    <x v="1"/>
    <n v="18806.145469999999"/>
    <x v="2"/>
    <x v="1"/>
    <s v="No"/>
  </r>
  <r>
    <n v="48"/>
    <x v="1"/>
    <n v="30.78"/>
    <n v="3"/>
    <x v="1"/>
    <x v="3"/>
    <n v="10141.136200000001"/>
    <x v="2"/>
    <x v="1"/>
    <s v="No"/>
  </r>
  <r>
    <n v="39"/>
    <x v="1"/>
    <n v="26.22"/>
    <n v="1"/>
    <x v="1"/>
    <x v="2"/>
    <n v="6123.5688"/>
    <x v="1"/>
    <x v="0"/>
    <s v="No"/>
  </r>
  <r>
    <n v="40"/>
    <x v="0"/>
    <n v="23.37"/>
    <n v="3"/>
    <x v="1"/>
    <x v="3"/>
    <n v="8252.2842999999993"/>
    <x v="2"/>
    <x v="2"/>
    <s v="No"/>
  </r>
  <r>
    <n v="18"/>
    <x v="1"/>
    <n v="28.5"/>
    <n v="0"/>
    <x v="1"/>
    <x v="3"/>
    <n v="1712.2270000000001"/>
    <x v="0"/>
    <x v="0"/>
    <s v="No"/>
  </r>
  <r>
    <n v="58"/>
    <x v="0"/>
    <n v="32.965000000000003"/>
    <n v="0"/>
    <x v="1"/>
    <x v="3"/>
    <n v="12430.95335"/>
    <x v="4"/>
    <x v="1"/>
    <s v="No"/>
  </r>
  <r>
    <n v="49"/>
    <x v="0"/>
    <n v="42.68"/>
    <n v="2"/>
    <x v="1"/>
    <x v="1"/>
    <n v="9800.8881999999994"/>
    <x v="2"/>
    <x v="1"/>
    <s v="No"/>
  </r>
  <r>
    <n v="53"/>
    <x v="0"/>
    <n v="39.6"/>
    <n v="1"/>
    <x v="1"/>
    <x v="1"/>
    <n v="10579.710999999999"/>
    <x v="4"/>
    <x v="1"/>
    <s v="No"/>
  </r>
  <r>
    <n v="48"/>
    <x v="0"/>
    <n v="31.13"/>
    <n v="0"/>
    <x v="1"/>
    <x v="1"/>
    <n v="8280.6226999999999"/>
    <x v="2"/>
    <x v="1"/>
    <s v="No"/>
  </r>
  <r>
    <n v="45"/>
    <x v="0"/>
    <n v="36.299999999999997"/>
    <n v="2"/>
    <x v="1"/>
    <x v="1"/>
    <n v="8527.5319999999992"/>
    <x v="2"/>
    <x v="1"/>
    <s v="No"/>
  </r>
  <r>
    <n v="59"/>
    <x v="0"/>
    <n v="35.200000000000003"/>
    <n v="0"/>
    <x v="1"/>
    <x v="1"/>
    <n v="12244.531000000001"/>
    <x v="4"/>
    <x v="1"/>
    <s v="No"/>
  </r>
  <r>
    <n v="52"/>
    <x v="0"/>
    <n v="25.3"/>
    <n v="2"/>
    <x v="0"/>
    <x v="1"/>
    <n v="24667.419000000002"/>
    <x v="4"/>
    <x v="0"/>
    <s v="Yes"/>
  </r>
  <r>
    <n v="26"/>
    <x v="0"/>
    <n v="42.4"/>
    <n v="1"/>
    <x v="1"/>
    <x v="0"/>
    <n v="3410.3240000000001"/>
    <x v="0"/>
    <x v="1"/>
    <s v="No"/>
  </r>
  <r>
    <n v="27"/>
    <x v="1"/>
    <n v="33.155000000000001"/>
    <n v="2"/>
    <x v="1"/>
    <x v="2"/>
    <n v="4058.71245"/>
    <x v="0"/>
    <x v="1"/>
    <s v="No"/>
  </r>
  <r>
    <n v="48"/>
    <x v="0"/>
    <n v="35.909999999999997"/>
    <n v="1"/>
    <x v="1"/>
    <x v="3"/>
    <n v="26392.260289999998"/>
    <x v="2"/>
    <x v="1"/>
    <s v="Yes"/>
  </r>
  <r>
    <n v="57"/>
    <x v="0"/>
    <n v="28.785"/>
    <n v="4"/>
    <x v="1"/>
    <x v="3"/>
    <n v="14394.398150000001"/>
    <x v="4"/>
    <x v="0"/>
    <s v="No"/>
  </r>
  <r>
    <n v="37"/>
    <x v="1"/>
    <n v="46.53"/>
    <n v="3"/>
    <x v="1"/>
    <x v="1"/>
    <n v="6435.6237000000001"/>
    <x v="1"/>
    <x v="1"/>
    <s v="No"/>
  </r>
  <r>
    <n v="57"/>
    <x v="0"/>
    <n v="23.98"/>
    <n v="1"/>
    <x v="1"/>
    <x v="1"/>
    <n v="22192.437109999999"/>
    <x v="4"/>
    <x v="2"/>
    <s v="Yes"/>
  </r>
  <r>
    <n v="32"/>
    <x v="0"/>
    <n v="31.54"/>
    <n v="1"/>
    <x v="1"/>
    <x v="3"/>
    <n v="5148.5526"/>
    <x v="1"/>
    <x v="1"/>
    <s v="No"/>
  </r>
  <r>
    <n v="18"/>
    <x v="1"/>
    <n v="33.659999999999997"/>
    <n v="0"/>
    <x v="1"/>
    <x v="1"/>
    <n v="1136.3994"/>
    <x v="0"/>
    <x v="1"/>
    <s v="No"/>
  </r>
  <r>
    <n v="64"/>
    <x v="0"/>
    <n v="22.99"/>
    <n v="0"/>
    <x v="0"/>
    <x v="1"/>
    <n v="27037.914100000002"/>
    <x v="3"/>
    <x v="2"/>
    <s v="Yes"/>
  </r>
  <r>
    <n v="43"/>
    <x v="1"/>
    <n v="38.06"/>
    <n v="2"/>
    <x v="0"/>
    <x v="1"/>
    <n v="42560.430399999997"/>
    <x v="2"/>
    <x v="1"/>
    <s v="Yes"/>
  </r>
  <r>
    <n v="49"/>
    <x v="1"/>
    <n v="28.7"/>
    <n v="1"/>
    <x v="1"/>
    <x v="0"/>
    <n v="8703.4560000000001"/>
    <x v="2"/>
    <x v="0"/>
    <s v="No"/>
  </r>
  <r>
    <n v="40"/>
    <x v="0"/>
    <n v="32.774999999999999"/>
    <n v="2"/>
    <x v="0"/>
    <x v="2"/>
    <n v="40003.332249999999"/>
    <x v="2"/>
    <x v="1"/>
    <s v="Yes"/>
  </r>
  <r>
    <n v="62"/>
    <x v="1"/>
    <n v="32.015000000000001"/>
    <n v="0"/>
    <x v="0"/>
    <x v="3"/>
    <n v="45710.207849999999"/>
    <x v="3"/>
    <x v="1"/>
    <s v="Yes"/>
  </r>
  <r>
    <n v="40"/>
    <x v="0"/>
    <n v="29.81"/>
    <n v="1"/>
    <x v="1"/>
    <x v="1"/>
    <n v="6500.2358999999997"/>
    <x v="2"/>
    <x v="0"/>
    <s v="No"/>
  </r>
  <r>
    <n v="30"/>
    <x v="1"/>
    <n v="31.57"/>
    <n v="3"/>
    <x v="1"/>
    <x v="1"/>
    <n v="4837.5823"/>
    <x v="1"/>
    <x v="1"/>
    <s v="No"/>
  </r>
  <r>
    <n v="29"/>
    <x v="0"/>
    <n v="31.16"/>
    <n v="0"/>
    <x v="1"/>
    <x v="3"/>
    <n v="3943.5954000000002"/>
    <x v="0"/>
    <x v="1"/>
    <s v="No"/>
  </r>
  <r>
    <n v="36"/>
    <x v="1"/>
    <n v="29.7"/>
    <n v="0"/>
    <x v="1"/>
    <x v="1"/>
    <n v="4399.7309999999998"/>
    <x v="1"/>
    <x v="0"/>
    <s v="No"/>
  </r>
  <r>
    <n v="41"/>
    <x v="0"/>
    <n v="31.02"/>
    <n v="0"/>
    <x v="1"/>
    <x v="1"/>
    <n v="6185.3208000000004"/>
    <x v="2"/>
    <x v="1"/>
    <s v="No"/>
  </r>
  <r>
    <n v="44"/>
    <x v="0"/>
    <n v="43.89"/>
    <n v="2"/>
    <x v="0"/>
    <x v="1"/>
    <n v="46200.985099999998"/>
    <x v="2"/>
    <x v="1"/>
    <s v="Yes"/>
  </r>
  <r>
    <n v="45"/>
    <x v="1"/>
    <n v="21.375"/>
    <n v="0"/>
    <x v="1"/>
    <x v="2"/>
    <n v="7222.7862500000001"/>
    <x v="2"/>
    <x v="2"/>
    <s v="No"/>
  </r>
  <r>
    <n v="55"/>
    <x v="0"/>
    <n v="40.81"/>
    <n v="3"/>
    <x v="1"/>
    <x v="1"/>
    <n v="12485.8009"/>
    <x v="4"/>
    <x v="1"/>
    <s v="No"/>
  </r>
  <r>
    <n v="60"/>
    <x v="1"/>
    <n v="31.35"/>
    <n v="3"/>
    <x v="0"/>
    <x v="2"/>
    <n v="46130.5265"/>
    <x v="3"/>
    <x v="1"/>
    <s v="Yes"/>
  </r>
  <r>
    <n v="56"/>
    <x v="1"/>
    <n v="36.1"/>
    <n v="3"/>
    <x v="1"/>
    <x v="0"/>
    <n v="12363.547"/>
    <x v="4"/>
    <x v="1"/>
    <s v="No"/>
  </r>
  <r>
    <n v="49"/>
    <x v="0"/>
    <n v="23.18"/>
    <n v="2"/>
    <x v="1"/>
    <x v="2"/>
    <n v="10156.7832"/>
    <x v="2"/>
    <x v="2"/>
    <s v="No"/>
  </r>
  <r>
    <n v="21"/>
    <x v="0"/>
    <n v="17.399999999999999"/>
    <n v="1"/>
    <x v="1"/>
    <x v="0"/>
    <n v="2585.2689999999998"/>
    <x v="0"/>
    <x v="3"/>
    <s v="No"/>
  </r>
  <r>
    <n v="19"/>
    <x v="1"/>
    <n v="20.3"/>
    <n v="0"/>
    <x v="1"/>
    <x v="0"/>
    <n v="1242.26"/>
    <x v="0"/>
    <x v="2"/>
    <s v="No"/>
  </r>
  <r>
    <n v="39"/>
    <x v="1"/>
    <n v="35.299999999999997"/>
    <n v="2"/>
    <x v="0"/>
    <x v="0"/>
    <n v="40103.89"/>
    <x v="1"/>
    <x v="1"/>
    <s v="Yes"/>
  </r>
  <r>
    <n v="53"/>
    <x v="1"/>
    <n v="24.32"/>
    <n v="0"/>
    <x v="1"/>
    <x v="2"/>
    <n v="9863.4717999999993"/>
    <x v="4"/>
    <x v="2"/>
    <s v="No"/>
  </r>
  <r>
    <n v="33"/>
    <x v="0"/>
    <n v="18.5"/>
    <n v="1"/>
    <x v="1"/>
    <x v="0"/>
    <n v="4766.0219999999999"/>
    <x v="1"/>
    <x v="2"/>
    <s v="No"/>
  </r>
  <r>
    <n v="53"/>
    <x v="1"/>
    <n v="26.41"/>
    <n v="2"/>
    <x v="1"/>
    <x v="3"/>
    <n v="11244.376899999999"/>
    <x v="4"/>
    <x v="0"/>
    <s v="No"/>
  </r>
  <r>
    <n v="42"/>
    <x v="1"/>
    <n v="26.125"/>
    <n v="2"/>
    <x v="1"/>
    <x v="3"/>
    <n v="7729.6457499999997"/>
    <x v="2"/>
    <x v="0"/>
    <s v="No"/>
  </r>
  <r>
    <n v="40"/>
    <x v="1"/>
    <n v="41.69"/>
    <n v="0"/>
    <x v="1"/>
    <x v="1"/>
    <n v="5438.7491"/>
    <x v="2"/>
    <x v="1"/>
    <s v="No"/>
  </r>
  <r>
    <n v="47"/>
    <x v="0"/>
    <n v="24.1"/>
    <n v="1"/>
    <x v="1"/>
    <x v="0"/>
    <n v="26236.579969999999"/>
    <x v="2"/>
    <x v="2"/>
    <s v="Yes"/>
  </r>
  <r>
    <n v="27"/>
    <x v="1"/>
    <n v="31.13"/>
    <n v="1"/>
    <x v="0"/>
    <x v="1"/>
    <n v="34806.467700000001"/>
    <x v="0"/>
    <x v="1"/>
    <s v="Yes"/>
  </r>
  <r>
    <n v="21"/>
    <x v="1"/>
    <n v="27.36"/>
    <n v="0"/>
    <x v="1"/>
    <x v="3"/>
    <n v="2104.1134000000002"/>
    <x v="0"/>
    <x v="0"/>
    <s v="No"/>
  </r>
  <r>
    <n v="47"/>
    <x v="1"/>
    <n v="36.200000000000003"/>
    <n v="1"/>
    <x v="1"/>
    <x v="0"/>
    <n v="8068.1850000000004"/>
    <x v="2"/>
    <x v="1"/>
    <s v="No"/>
  </r>
  <r>
    <n v="20"/>
    <x v="1"/>
    <n v="32.395000000000003"/>
    <n v="1"/>
    <x v="1"/>
    <x v="2"/>
    <n v="2362.2290499999999"/>
    <x v="0"/>
    <x v="1"/>
    <s v="No"/>
  </r>
  <r>
    <n v="24"/>
    <x v="1"/>
    <n v="23.655000000000001"/>
    <n v="0"/>
    <x v="1"/>
    <x v="2"/>
    <n v="2352.9684499999998"/>
    <x v="0"/>
    <x v="2"/>
    <s v="No"/>
  </r>
  <r>
    <n v="27"/>
    <x v="0"/>
    <n v="34.799999999999997"/>
    <n v="1"/>
    <x v="1"/>
    <x v="0"/>
    <n v="3577.9989999999998"/>
    <x v="0"/>
    <x v="1"/>
    <s v="No"/>
  </r>
  <r>
    <n v="26"/>
    <x v="0"/>
    <n v="40.185000000000002"/>
    <n v="0"/>
    <x v="1"/>
    <x v="2"/>
    <n v="3201.2451500000002"/>
    <x v="0"/>
    <x v="1"/>
    <s v="No"/>
  </r>
  <r>
    <n v="53"/>
    <x v="0"/>
    <n v="32.299999999999997"/>
    <n v="2"/>
    <x v="1"/>
    <x v="3"/>
    <n v="29186.482360000002"/>
    <x v="4"/>
    <x v="1"/>
    <s v="Yes"/>
  </r>
  <r>
    <n v="41"/>
    <x v="1"/>
    <n v="35.75"/>
    <n v="1"/>
    <x v="0"/>
    <x v="1"/>
    <n v="40273.645499999999"/>
    <x v="2"/>
    <x v="1"/>
    <s v="Yes"/>
  </r>
  <r>
    <n v="56"/>
    <x v="1"/>
    <n v="33.725000000000001"/>
    <n v="0"/>
    <x v="1"/>
    <x v="2"/>
    <n v="10976.24575"/>
    <x v="4"/>
    <x v="1"/>
    <s v="No"/>
  </r>
  <r>
    <n v="23"/>
    <x v="0"/>
    <n v="39.270000000000003"/>
    <n v="2"/>
    <x v="1"/>
    <x v="1"/>
    <n v="3500.6122999999998"/>
    <x v="0"/>
    <x v="1"/>
    <s v="No"/>
  </r>
  <r>
    <n v="21"/>
    <x v="0"/>
    <n v="34.869999999999997"/>
    <n v="0"/>
    <x v="1"/>
    <x v="1"/>
    <n v="2020.5523000000001"/>
    <x v="0"/>
    <x v="1"/>
    <s v="No"/>
  </r>
  <r>
    <n v="50"/>
    <x v="0"/>
    <n v="44.744999999999997"/>
    <n v="0"/>
    <x v="1"/>
    <x v="3"/>
    <n v="9541.6955500000004"/>
    <x v="4"/>
    <x v="1"/>
    <s v="No"/>
  </r>
  <r>
    <n v="53"/>
    <x v="1"/>
    <n v="41.47"/>
    <n v="0"/>
    <x v="1"/>
    <x v="1"/>
    <n v="9504.3102999999992"/>
    <x v="4"/>
    <x v="1"/>
    <s v="No"/>
  </r>
  <r>
    <n v="34"/>
    <x v="0"/>
    <n v="26.41"/>
    <n v="1"/>
    <x v="1"/>
    <x v="2"/>
    <n v="5385.3379000000004"/>
    <x v="1"/>
    <x v="0"/>
    <s v="No"/>
  </r>
  <r>
    <n v="47"/>
    <x v="0"/>
    <n v="29.545000000000002"/>
    <n v="1"/>
    <x v="1"/>
    <x v="2"/>
    <n v="8930.9345499999999"/>
    <x v="2"/>
    <x v="0"/>
    <s v="No"/>
  </r>
  <r>
    <n v="33"/>
    <x v="0"/>
    <n v="32.9"/>
    <n v="2"/>
    <x v="1"/>
    <x v="0"/>
    <n v="5375.0379999999996"/>
    <x v="1"/>
    <x v="1"/>
    <s v="No"/>
  </r>
  <r>
    <n v="51"/>
    <x v="0"/>
    <n v="38.06"/>
    <n v="0"/>
    <x v="0"/>
    <x v="1"/>
    <n v="44400.4064"/>
    <x v="4"/>
    <x v="1"/>
    <s v="Yes"/>
  </r>
  <r>
    <n v="49"/>
    <x v="1"/>
    <n v="28.69"/>
    <n v="3"/>
    <x v="1"/>
    <x v="2"/>
    <n v="10264.4421"/>
    <x v="2"/>
    <x v="0"/>
    <s v="No"/>
  </r>
  <r>
    <n v="31"/>
    <x v="0"/>
    <n v="30.495000000000001"/>
    <n v="3"/>
    <x v="1"/>
    <x v="3"/>
    <n v="6113.2310500000003"/>
    <x v="1"/>
    <x v="1"/>
    <s v="No"/>
  </r>
  <r>
    <n v="36"/>
    <x v="0"/>
    <n v="27.74"/>
    <n v="0"/>
    <x v="1"/>
    <x v="3"/>
    <n v="5469.0065999999997"/>
    <x v="1"/>
    <x v="0"/>
    <s v="No"/>
  </r>
  <r>
    <n v="18"/>
    <x v="1"/>
    <n v="35.200000000000003"/>
    <n v="1"/>
    <x v="1"/>
    <x v="1"/>
    <n v="1727.54"/>
    <x v="0"/>
    <x v="1"/>
    <s v="No"/>
  </r>
  <r>
    <n v="50"/>
    <x v="0"/>
    <n v="23.54"/>
    <n v="2"/>
    <x v="1"/>
    <x v="1"/>
    <n v="10107.220600000001"/>
    <x v="4"/>
    <x v="2"/>
    <s v="No"/>
  </r>
  <r>
    <n v="43"/>
    <x v="0"/>
    <n v="30.684999999999999"/>
    <n v="2"/>
    <x v="1"/>
    <x v="2"/>
    <n v="8310.8391499999998"/>
    <x v="2"/>
    <x v="1"/>
    <s v="No"/>
  </r>
  <r>
    <n v="20"/>
    <x v="1"/>
    <n v="40.47"/>
    <n v="0"/>
    <x v="1"/>
    <x v="3"/>
    <n v="1984.4532999999999"/>
    <x v="0"/>
    <x v="1"/>
    <s v="No"/>
  </r>
  <r>
    <n v="24"/>
    <x v="0"/>
    <n v="22.6"/>
    <n v="0"/>
    <x v="1"/>
    <x v="0"/>
    <n v="2457.502"/>
    <x v="0"/>
    <x v="2"/>
    <s v="No"/>
  </r>
  <r>
    <n v="60"/>
    <x v="1"/>
    <n v="28.9"/>
    <n v="0"/>
    <x v="1"/>
    <x v="0"/>
    <n v="12146.971"/>
    <x v="3"/>
    <x v="0"/>
    <s v="No"/>
  </r>
  <r>
    <n v="49"/>
    <x v="0"/>
    <n v="22.61"/>
    <n v="1"/>
    <x v="1"/>
    <x v="2"/>
    <n v="9566.9909000000007"/>
    <x v="2"/>
    <x v="2"/>
    <s v="No"/>
  </r>
  <r>
    <n v="60"/>
    <x v="1"/>
    <n v="24.32"/>
    <n v="1"/>
    <x v="1"/>
    <x v="2"/>
    <n v="13112.604799999999"/>
    <x v="3"/>
    <x v="2"/>
    <s v="No"/>
  </r>
  <r>
    <n v="51"/>
    <x v="0"/>
    <n v="36.67"/>
    <n v="2"/>
    <x v="1"/>
    <x v="2"/>
    <n v="10848.1343"/>
    <x v="4"/>
    <x v="1"/>
    <s v="No"/>
  </r>
  <r>
    <n v="58"/>
    <x v="0"/>
    <n v="33.44"/>
    <n v="0"/>
    <x v="1"/>
    <x v="2"/>
    <n v="12231.613600000001"/>
    <x v="4"/>
    <x v="1"/>
    <s v="No"/>
  </r>
  <r>
    <n v="51"/>
    <x v="0"/>
    <n v="40.659999999999997"/>
    <n v="0"/>
    <x v="1"/>
    <x v="3"/>
    <n v="9875.6803999999993"/>
    <x v="4"/>
    <x v="1"/>
    <s v="No"/>
  </r>
  <r>
    <n v="53"/>
    <x v="1"/>
    <n v="36.6"/>
    <n v="3"/>
    <x v="1"/>
    <x v="0"/>
    <n v="11264.540999999999"/>
    <x v="4"/>
    <x v="1"/>
    <s v="No"/>
  </r>
  <r>
    <n v="62"/>
    <x v="1"/>
    <n v="37.4"/>
    <n v="0"/>
    <x v="1"/>
    <x v="0"/>
    <n v="12979.358"/>
    <x v="3"/>
    <x v="1"/>
    <s v="No"/>
  </r>
  <r>
    <n v="19"/>
    <x v="1"/>
    <n v="35.4"/>
    <n v="0"/>
    <x v="1"/>
    <x v="0"/>
    <n v="1263.249"/>
    <x v="0"/>
    <x v="1"/>
    <s v="No"/>
  </r>
  <r>
    <n v="50"/>
    <x v="0"/>
    <n v="27.074999999999999"/>
    <n v="1"/>
    <x v="1"/>
    <x v="3"/>
    <n v="10106.134249999999"/>
    <x v="4"/>
    <x v="0"/>
    <s v="No"/>
  </r>
  <r>
    <n v="30"/>
    <x v="0"/>
    <n v="39.049999999999997"/>
    <n v="3"/>
    <x v="0"/>
    <x v="1"/>
    <n v="40932.429499999998"/>
    <x v="1"/>
    <x v="1"/>
    <s v="Yes"/>
  </r>
  <r>
    <n v="41"/>
    <x v="1"/>
    <n v="28.405000000000001"/>
    <n v="1"/>
    <x v="1"/>
    <x v="2"/>
    <n v="6664.68595"/>
    <x v="2"/>
    <x v="0"/>
    <s v="No"/>
  </r>
  <r>
    <n v="29"/>
    <x v="0"/>
    <n v="21.754999999999999"/>
    <n v="1"/>
    <x v="0"/>
    <x v="3"/>
    <n v="16657.71745"/>
    <x v="0"/>
    <x v="2"/>
    <s v="No"/>
  </r>
  <r>
    <n v="18"/>
    <x v="0"/>
    <n v="40.28"/>
    <n v="0"/>
    <x v="1"/>
    <x v="3"/>
    <n v="2217.6012000000001"/>
    <x v="0"/>
    <x v="1"/>
    <s v="No"/>
  </r>
  <r>
    <n v="41"/>
    <x v="0"/>
    <n v="36.08"/>
    <n v="1"/>
    <x v="1"/>
    <x v="1"/>
    <n v="6781.3541999999998"/>
    <x v="2"/>
    <x v="1"/>
    <s v="No"/>
  </r>
  <r>
    <n v="35"/>
    <x v="1"/>
    <n v="24.42"/>
    <n v="3"/>
    <x v="0"/>
    <x v="1"/>
    <n v="19361.998800000001"/>
    <x v="1"/>
    <x v="2"/>
    <s v="No"/>
  </r>
  <r>
    <n v="53"/>
    <x v="1"/>
    <n v="21.4"/>
    <n v="1"/>
    <x v="1"/>
    <x v="0"/>
    <n v="10065.413"/>
    <x v="4"/>
    <x v="2"/>
    <s v="No"/>
  </r>
  <r>
    <n v="24"/>
    <x v="0"/>
    <n v="30.1"/>
    <n v="3"/>
    <x v="1"/>
    <x v="0"/>
    <n v="4234.9269999999997"/>
    <x v="0"/>
    <x v="1"/>
    <s v="No"/>
  </r>
  <r>
    <n v="48"/>
    <x v="0"/>
    <n v="27.265000000000001"/>
    <n v="1"/>
    <x v="1"/>
    <x v="3"/>
    <n v="9447.2503500000003"/>
    <x v="2"/>
    <x v="0"/>
    <s v="No"/>
  </r>
  <r>
    <n v="59"/>
    <x v="0"/>
    <n v="32.1"/>
    <n v="3"/>
    <x v="1"/>
    <x v="0"/>
    <n v="14007.222"/>
    <x v="4"/>
    <x v="1"/>
    <s v="No"/>
  </r>
  <r>
    <n v="49"/>
    <x v="0"/>
    <n v="34.770000000000003"/>
    <n v="1"/>
    <x v="1"/>
    <x v="2"/>
    <n v="9583.8932999999997"/>
    <x v="2"/>
    <x v="1"/>
    <s v="No"/>
  </r>
  <r>
    <n v="37"/>
    <x v="0"/>
    <n v="38.39"/>
    <n v="0"/>
    <x v="0"/>
    <x v="1"/>
    <n v="40419.019099999998"/>
    <x v="1"/>
    <x v="1"/>
    <s v="Yes"/>
  </r>
  <r>
    <n v="26"/>
    <x v="1"/>
    <n v="23.7"/>
    <n v="2"/>
    <x v="1"/>
    <x v="0"/>
    <n v="3484.3310000000001"/>
    <x v="0"/>
    <x v="2"/>
    <s v="No"/>
  </r>
  <r>
    <n v="23"/>
    <x v="1"/>
    <n v="31.73"/>
    <n v="3"/>
    <x v="0"/>
    <x v="3"/>
    <n v="36189.101699999999"/>
    <x v="0"/>
    <x v="1"/>
    <s v="Yes"/>
  </r>
  <r>
    <n v="29"/>
    <x v="1"/>
    <n v="35.5"/>
    <n v="2"/>
    <x v="0"/>
    <x v="0"/>
    <n v="44585.455869999998"/>
    <x v="0"/>
    <x v="1"/>
    <s v="Yes"/>
  </r>
  <r>
    <n v="45"/>
    <x v="1"/>
    <n v="24.035"/>
    <n v="2"/>
    <x v="1"/>
    <x v="3"/>
    <n v="8604.4836500000001"/>
    <x v="2"/>
    <x v="2"/>
    <s v="No"/>
  </r>
  <r>
    <n v="27"/>
    <x v="1"/>
    <n v="29.15"/>
    <n v="0"/>
    <x v="0"/>
    <x v="1"/>
    <n v="18246.495500000001"/>
    <x v="0"/>
    <x v="0"/>
    <s v="No"/>
  </r>
  <r>
    <n v="53"/>
    <x v="1"/>
    <n v="34.104999999999997"/>
    <n v="0"/>
    <x v="0"/>
    <x v="3"/>
    <n v="43254.417950000003"/>
    <x v="4"/>
    <x v="1"/>
    <s v="Yes"/>
  </r>
  <r>
    <n v="31"/>
    <x v="0"/>
    <n v="26.62"/>
    <n v="0"/>
    <x v="1"/>
    <x v="1"/>
    <n v="3757.8447999999999"/>
    <x v="1"/>
    <x v="0"/>
    <s v="No"/>
  </r>
  <r>
    <n v="50"/>
    <x v="1"/>
    <n v="26.41"/>
    <n v="0"/>
    <x v="1"/>
    <x v="2"/>
    <n v="8827.2098999999998"/>
    <x v="4"/>
    <x v="0"/>
    <s v="No"/>
  </r>
  <r>
    <n v="50"/>
    <x v="0"/>
    <n v="30.114999999999998"/>
    <n v="1"/>
    <x v="1"/>
    <x v="2"/>
    <n v="9910.3598500000007"/>
    <x v="4"/>
    <x v="1"/>
    <s v="No"/>
  </r>
  <r>
    <n v="34"/>
    <x v="1"/>
    <n v="27"/>
    <n v="2"/>
    <x v="1"/>
    <x v="0"/>
    <n v="11737.848840000001"/>
    <x v="1"/>
    <x v="0"/>
    <s v="No"/>
  </r>
  <r>
    <n v="19"/>
    <x v="1"/>
    <n v="21.754999999999999"/>
    <n v="0"/>
    <x v="1"/>
    <x v="2"/>
    <n v="1627.2824499999999"/>
    <x v="0"/>
    <x v="2"/>
    <s v="No"/>
  </r>
  <r>
    <n v="47"/>
    <x v="0"/>
    <n v="36"/>
    <n v="1"/>
    <x v="1"/>
    <x v="0"/>
    <n v="8556.9069999999992"/>
    <x v="2"/>
    <x v="1"/>
    <s v="No"/>
  </r>
  <r>
    <n v="28"/>
    <x v="1"/>
    <n v="30.875"/>
    <n v="0"/>
    <x v="1"/>
    <x v="2"/>
    <n v="3062.5082499999999"/>
    <x v="0"/>
    <x v="1"/>
    <s v="No"/>
  </r>
  <r>
    <n v="37"/>
    <x v="0"/>
    <n v="26.4"/>
    <n v="0"/>
    <x v="0"/>
    <x v="1"/>
    <n v="19539.242999999999"/>
    <x v="1"/>
    <x v="0"/>
    <s v="No"/>
  </r>
  <r>
    <n v="21"/>
    <x v="1"/>
    <n v="28.975000000000001"/>
    <n v="0"/>
    <x v="1"/>
    <x v="2"/>
    <n v="1906.35825"/>
    <x v="0"/>
    <x v="0"/>
    <s v="No"/>
  </r>
  <r>
    <n v="64"/>
    <x v="1"/>
    <n v="37.905000000000001"/>
    <n v="0"/>
    <x v="1"/>
    <x v="2"/>
    <n v="14210.53595"/>
    <x v="3"/>
    <x v="1"/>
    <s v="No"/>
  </r>
  <r>
    <n v="58"/>
    <x v="0"/>
    <n v="22.77"/>
    <n v="0"/>
    <x v="1"/>
    <x v="1"/>
    <n v="11833.782300000001"/>
    <x v="4"/>
    <x v="2"/>
    <s v="No"/>
  </r>
  <r>
    <n v="24"/>
    <x v="1"/>
    <n v="33.630000000000003"/>
    <n v="4"/>
    <x v="1"/>
    <x v="3"/>
    <n v="17128.426080000001"/>
    <x v="0"/>
    <x v="1"/>
    <s v="No"/>
  </r>
  <r>
    <n v="31"/>
    <x v="1"/>
    <n v="27.645"/>
    <n v="2"/>
    <x v="1"/>
    <x v="3"/>
    <n v="5031.26955"/>
    <x v="1"/>
    <x v="0"/>
    <s v="No"/>
  </r>
  <r>
    <n v="39"/>
    <x v="0"/>
    <n v="22.8"/>
    <n v="3"/>
    <x v="1"/>
    <x v="3"/>
    <n v="7985.8149999999996"/>
    <x v="1"/>
    <x v="2"/>
    <s v="No"/>
  </r>
  <r>
    <n v="47"/>
    <x v="0"/>
    <n v="27.83"/>
    <n v="0"/>
    <x v="0"/>
    <x v="1"/>
    <n v="23065.420699999999"/>
    <x v="2"/>
    <x v="0"/>
    <s v="Yes"/>
  </r>
  <r>
    <n v="30"/>
    <x v="1"/>
    <n v="37.43"/>
    <n v="3"/>
    <x v="1"/>
    <x v="3"/>
    <n v="5428.7277000000004"/>
    <x v="1"/>
    <x v="1"/>
    <s v="No"/>
  </r>
  <r>
    <n v="18"/>
    <x v="1"/>
    <n v="38.17"/>
    <n v="0"/>
    <x v="0"/>
    <x v="1"/>
    <n v="36307.798300000002"/>
    <x v="0"/>
    <x v="1"/>
    <s v="Yes"/>
  </r>
  <r>
    <n v="22"/>
    <x v="0"/>
    <n v="34.58"/>
    <n v="2"/>
    <x v="1"/>
    <x v="3"/>
    <n v="3925.7582000000002"/>
    <x v="0"/>
    <x v="1"/>
    <s v="No"/>
  </r>
  <r>
    <n v="23"/>
    <x v="1"/>
    <n v="35.200000000000003"/>
    <n v="1"/>
    <x v="1"/>
    <x v="0"/>
    <n v="2416.9549999999999"/>
    <x v="0"/>
    <x v="1"/>
    <s v="No"/>
  </r>
  <r>
    <n v="33"/>
    <x v="1"/>
    <n v="27.1"/>
    <n v="1"/>
    <x v="0"/>
    <x v="0"/>
    <n v="19040.876"/>
    <x v="1"/>
    <x v="0"/>
    <s v="No"/>
  </r>
  <r>
    <n v="27"/>
    <x v="1"/>
    <n v="26.03"/>
    <n v="0"/>
    <x v="1"/>
    <x v="3"/>
    <n v="3070.8087"/>
    <x v="0"/>
    <x v="0"/>
    <s v="No"/>
  </r>
  <r>
    <n v="45"/>
    <x v="0"/>
    <n v="25.175000000000001"/>
    <n v="2"/>
    <x v="1"/>
    <x v="3"/>
    <n v="9095.0682500000003"/>
    <x v="2"/>
    <x v="0"/>
    <s v="No"/>
  </r>
  <r>
    <n v="57"/>
    <x v="0"/>
    <n v="31.824999999999999"/>
    <n v="0"/>
    <x v="1"/>
    <x v="2"/>
    <n v="11842.623750000001"/>
    <x v="4"/>
    <x v="1"/>
    <s v="No"/>
  </r>
  <r>
    <n v="47"/>
    <x v="1"/>
    <n v="32.299999999999997"/>
    <n v="1"/>
    <x v="1"/>
    <x v="0"/>
    <n v="8062.7640000000001"/>
    <x v="2"/>
    <x v="1"/>
    <s v="No"/>
  </r>
  <r>
    <n v="42"/>
    <x v="0"/>
    <n v="29"/>
    <n v="1"/>
    <x v="1"/>
    <x v="0"/>
    <n v="7050.6419999999998"/>
    <x v="2"/>
    <x v="0"/>
    <s v="No"/>
  </r>
  <r>
    <n v="64"/>
    <x v="0"/>
    <n v="39.700000000000003"/>
    <n v="0"/>
    <x v="1"/>
    <x v="0"/>
    <n v="14319.031000000001"/>
    <x v="3"/>
    <x v="1"/>
    <s v="No"/>
  </r>
  <r>
    <n v="38"/>
    <x v="0"/>
    <n v="19.475000000000001"/>
    <n v="2"/>
    <x v="1"/>
    <x v="2"/>
    <n v="6933.2422500000002"/>
    <x v="1"/>
    <x v="2"/>
    <s v="No"/>
  </r>
  <r>
    <n v="61"/>
    <x v="1"/>
    <n v="36.1"/>
    <n v="3"/>
    <x v="1"/>
    <x v="0"/>
    <n v="27941.28758"/>
    <x v="3"/>
    <x v="1"/>
    <s v="Yes"/>
  </r>
  <r>
    <n v="53"/>
    <x v="0"/>
    <n v="26.7"/>
    <n v="2"/>
    <x v="1"/>
    <x v="0"/>
    <n v="11150.78"/>
    <x v="4"/>
    <x v="0"/>
    <s v="No"/>
  </r>
  <r>
    <n v="44"/>
    <x v="0"/>
    <n v="36.479999999999997"/>
    <n v="0"/>
    <x v="1"/>
    <x v="3"/>
    <n v="12797.20962"/>
    <x v="2"/>
    <x v="1"/>
    <s v="No"/>
  </r>
  <r>
    <n v="19"/>
    <x v="0"/>
    <n v="28.88"/>
    <n v="0"/>
    <x v="0"/>
    <x v="2"/>
    <n v="17748.5062"/>
    <x v="0"/>
    <x v="0"/>
    <s v="No"/>
  </r>
  <r>
    <n v="41"/>
    <x v="1"/>
    <n v="34.200000000000003"/>
    <n v="2"/>
    <x v="1"/>
    <x v="2"/>
    <n v="7261.741"/>
    <x v="2"/>
    <x v="1"/>
    <s v="No"/>
  </r>
  <r>
    <n v="51"/>
    <x v="1"/>
    <n v="33.33"/>
    <n v="3"/>
    <x v="1"/>
    <x v="1"/>
    <n v="10560.4917"/>
    <x v="4"/>
    <x v="1"/>
    <s v="No"/>
  </r>
  <r>
    <n v="40"/>
    <x v="1"/>
    <n v="32.299999999999997"/>
    <n v="2"/>
    <x v="1"/>
    <x v="2"/>
    <n v="6986.6970000000001"/>
    <x v="2"/>
    <x v="1"/>
    <s v="No"/>
  </r>
  <r>
    <n v="45"/>
    <x v="1"/>
    <n v="39.805"/>
    <n v="0"/>
    <x v="1"/>
    <x v="3"/>
    <n v="7448.4039499999999"/>
    <x v="2"/>
    <x v="1"/>
    <s v="No"/>
  </r>
  <r>
    <n v="35"/>
    <x v="1"/>
    <n v="34.32"/>
    <n v="3"/>
    <x v="1"/>
    <x v="1"/>
    <n v="5934.3797999999997"/>
    <x v="1"/>
    <x v="1"/>
    <s v="No"/>
  </r>
  <r>
    <n v="53"/>
    <x v="1"/>
    <n v="28.88"/>
    <n v="0"/>
    <x v="1"/>
    <x v="2"/>
    <n v="9869.8101999999999"/>
    <x v="4"/>
    <x v="0"/>
    <s v="No"/>
  </r>
  <r>
    <n v="30"/>
    <x v="1"/>
    <n v="24.4"/>
    <n v="3"/>
    <x v="0"/>
    <x v="0"/>
    <n v="18259.216"/>
    <x v="1"/>
    <x v="2"/>
    <s v="No"/>
  </r>
  <r>
    <n v="18"/>
    <x v="1"/>
    <n v="41.14"/>
    <n v="0"/>
    <x v="1"/>
    <x v="1"/>
    <n v="1146.7965999999999"/>
    <x v="0"/>
    <x v="1"/>
    <s v="No"/>
  </r>
  <r>
    <n v="51"/>
    <x v="1"/>
    <n v="35.97"/>
    <n v="1"/>
    <x v="1"/>
    <x v="1"/>
    <n v="9386.1612999999998"/>
    <x v="4"/>
    <x v="1"/>
    <s v="No"/>
  </r>
  <r>
    <n v="50"/>
    <x v="0"/>
    <n v="27.6"/>
    <n v="1"/>
    <x v="0"/>
    <x v="0"/>
    <n v="24520.263999999999"/>
    <x v="4"/>
    <x v="0"/>
    <s v="Yes"/>
  </r>
  <r>
    <n v="31"/>
    <x v="0"/>
    <n v="29.26"/>
    <n v="1"/>
    <x v="1"/>
    <x v="1"/>
    <n v="4350.5144"/>
    <x v="1"/>
    <x v="0"/>
    <s v="No"/>
  </r>
  <r>
    <n v="35"/>
    <x v="0"/>
    <n v="27.7"/>
    <n v="3"/>
    <x v="1"/>
    <x v="0"/>
    <n v="6414.1779999999999"/>
    <x v="1"/>
    <x v="0"/>
    <s v="No"/>
  </r>
  <r>
    <n v="60"/>
    <x v="1"/>
    <n v="36.954999999999998"/>
    <n v="0"/>
    <x v="1"/>
    <x v="3"/>
    <n v="12741.167450000001"/>
    <x v="3"/>
    <x v="1"/>
    <s v="No"/>
  </r>
  <r>
    <n v="21"/>
    <x v="1"/>
    <n v="36.86"/>
    <n v="0"/>
    <x v="1"/>
    <x v="2"/>
    <n v="1917.3184000000001"/>
    <x v="0"/>
    <x v="1"/>
    <s v="No"/>
  </r>
  <r>
    <n v="29"/>
    <x v="1"/>
    <n v="22.515000000000001"/>
    <n v="3"/>
    <x v="1"/>
    <x v="3"/>
    <n v="5209.5788499999999"/>
    <x v="0"/>
    <x v="2"/>
    <s v="No"/>
  </r>
  <r>
    <n v="62"/>
    <x v="0"/>
    <n v="29.92"/>
    <n v="0"/>
    <x v="1"/>
    <x v="1"/>
    <n v="13457.960800000001"/>
    <x v="3"/>
    <x v="0"/>
    <s v="No"/>
  </r>
  <r>
    <n v="39"/>
    <x v="0"/>
    <n v="41.8"/>
    <n v="0"/>
    <x v="1"/>
    <x v="1"/>
    <n v="5662.2250000000004"/>
    <x v="1"/>
    <x v="1"/>
    <s v="No"/>
  </r>
  <r>
    <n v="19"/>
    <x v="1"/>
    <n v="27.6"/>
    <n v="0"/>
    <x v="1"/>
    <x v="0"/>
    <n v="1252.4069999999999"/>
    <x v="0"/>
    <x v="0"/>
    <s v="No"/>
  </r>
  <r>
    <n v="22"/>
    <x v="0"/>
    <n v="23.18"/>
    <n v="0"/>
    <x v="1"/>
    <x v="3"/>
    <n v="2731.9122000000002"/>
    <x v="0"/>
    <x v="2"/>
    <s v="No"/>
  </r>
  <r>
    <n v="53"/>
    <x v="1"/>
    <n v="20.9"/>
    <n v="0"/>
    <x v="0"/>
    <x v="1"/>
    <n v="21195.817999999999"/>
    <x v="4"/>
    <x v="2"/>
    <s v="Yes"/>
  </r>
  <r>
    <n v="39"/>
    <x v="0"/>
    <n v="31.92"/>
    <n v="2"/>
    <x v="1"/>
    <x v="2"/>
    <n v="7209.4917999999998"/>
    <x v="1"/>
    <x v="1"/>
    <s v="No"/>
  </r>
  <r>
    <n v="27"/>
    <x v="1"/>
    <n v="28.5"/>
    <n v="0"/>
    <x v="0"/>
    <x v="2"/>
    <n v="18310.741999999998"/>
    <x v="0"/>
    <x v="0"/>
    <s v="No"/>
  </r>
  <r>
    <n v="30"/>
    <x v="1"/>
    <n v="44.22"/>
    <n v="2"/>
    <x v="1"/>
    <x v="1"/>
    <n v="4266.1657999999998"/>
    <x v="1"/>
    <x v="1"/>
    <s v="No"/>
  </r>
  <r>
    <n v="30"/>
    <x v="0"/>
    <n v="22.895"/>
    <n v="1"/>
    <x v="1"/>
    <x v="3"/>
    <n v="4719.52405"/>
    <x v="1"/>
    <x v="2"/>
    <s v="No"/>
  </r>
  <r>
    <n v="58"/>
    <x v="0"/>
    <n v="33.1"/>
    <n v="0"/>
    <x v="1"/>
    <x v="0"/>
    <n v="11848.141"/>
    <x v="4"/>
    <x v="1"/>
    <s v="No"/>
  </r>
  <r>
    <n v="33"/>
    <x v="1"/>
    <n v="24.795000000000002"/>
    <n v="0"/>
    <x v="0"/>
    <x v="3"/>
    <n v="17904.527050000001"/>
    <x v="1"/>
    <x v="2"/>
    <s v="No"/>
  </r>
  <r>
    <n v="42"/>
    <x v="0"/>
    <n v="26.18"/>
    <n v="1"/>
    <x v="1"/>
    <x v="1"/>
    <n v="7046.7222000000002"/>
    <x v="2"/>
    <x v="0"/>
    <s v="No"/>
  </r>
  <r>
    <n v="64"/>
    <x v="0"/>
    <n v="35.97"/>
    <n v="0"/>
    <x v="1"/>
    <x v="1"/>
    <n v="14313.846299999999"/>
    <x v="3"/>
    <x v="1"/>
    <s v="No"/>
  </r>
  <r>
    <n v="21"/>
    <x v="1"/>
    <n v="22.3"/>
    <n v="1"/>
    <x v="1"/>
    <x v="0"/>
    <n v="2103.08"/>
    <x v="0"/>
    <x v="2"/>
    <s v="No"/>
  </r>
  <r>
    <n v="18"/>
    <x v="0"/>
    <n v="42.24"/>
    <n v="0"/>
    <x v="0"/>
    <x v="1"/>
    <n v="38792.685599999997"/>
    <x v="0"/>
    <x v="1"/>
    <s v="Yes"/>
  </r>
  <r>
    <n v="23"/>
    <x v="1"/>
    <n v="26.51"/>
    <n v="0"/>
    <x v="1"/>
    <x v="1"/>
    <n v="1815.8759"/>
    <x v="0"/>
    <x v="0"/>
    <s v="No"/>
  </r>
  <r>
    <n v="45"/>
    <x v="0"/>
    <n v="35.814999999999998"/>
    <n v="0"/>
    <x v="1"/>
    <x v="2"/>
    <n v="7731.8578500000003"/>
    <x v="2"/>
    <x v="1"/>
    <s v="No"/>
  </r>
  <r>
    <n v="40"/>
    <x v="0"/>
    <n v="41.42"/>
    <n v="1"/>
    <x v="1"/>
    <x v="2"/>
    <n v="28476.734990000001"/>
    <x v="2"/>
    <x v="1"/>
    <s v="Yes"/>
  </r>
  <r>
    <n v="19"/>
    <x v="0"/>
    <n v="36.575000000000003"/>
    <n v="0"/>
    <x v="1"/>
    <x v="2"/>
    <n v="2136.8822500000001"/>
    <x v="0"/>
    <x v="1"/>
    <s v="No"/>
  </r>
  <r>
    <n v="18"/>
    <x v="1"/>
    <n v="30.14"/>
    <n v="0"/>
    <x v="1"/>
    <x v="1"/>
    <n v="1131.5065999999999"/>
    <x v="0"/>
    <x v="1"/>
    <s v="No"/>
  </r>
  <r>
    <n v="25"/>
    <x v="1"/>
    <n v="25.84"/>
    <n v="1"/>
    <x v="1"/>
    <x v="3"/>
    <n v="3309.7926000000002"/>
    <x v="0"/>
    <x v="0"/>
    <s v="No"/>
  </r>
  <r>
    <n v="46"/>
    <x v="0"/>
    <n v="30.8"/>
    <n v="3"/>
    <x v="1"/>
    <x v="0"/>
    <n v="9414.92"/>
    <x v="2"/>
    <x v="1"/>
    <s v="No"/>
  </r>
  <r>
    <n v="33"/>
    <x v="0"/>
    <n v="42.94"/>
    <n v="3"/>
    <x v="1"/>
    <x v="2"/>
    <n v="6360.9935999999998"/>
    <x v="1"/>
    <x v="1"/>
    <s v="No"/>
  </r>
  <r>
    <n v="54"/>
    <x v="1"/>
    <n v="21.01"/>
    <n v="2"/>
    <x v="1"/>
    <x v="1"/>
    <n v="11013.7119"/>
    <x v="4"/>
    <x v="2"/>
    <s v="No"/>
  </r>
  <r>
    <n v="28"/>
    <x v="1"/>
    <n v="22.515000000000001"/>
    <n v="2"/>
    <x v="1"/>
    <x v="3"/>
    <n v="4428.8878500000001"/>
    <x v="0"/>
    <x v="2"/>
    <s v="No"/>
  </r>
  <r>
    <n v="36"/>
    <x v="1"/>
    <n v="34.43"/>
    <n v="2"/>
    <x v="1"/>
    <x v="1"/>
    <n v="5584.3056999999999"/>
    <x v="1"/>
    <x v="1"/>
    <s v="No"/>
  </r>
  <r>
    <n v="20"/>
    <x v="0"/>
    <n v="31.46"/>
    <n v="0"/>
    <x v="1"/>
    <x v="1"/>
    <n v="1877.9294"/>
    <x v="0"/>
    <x v="1"/>
    <s v="No"/>
  </r>
  <r>
    <n v="24"/>
    <x v="0"/>
    <n v="24.225000000000001"/>
    <n v="0"/>
    <x v="1"/>
    <x v="2"/>
    <n v="2842.7607499999999"/>
    <x v="0"/>
    <x v="2"/>
    <s v="No"/>
  </r>
  <r>
    <n v="23"/>
    <x v="1"/>
    <n v="37.1"/>
    <n v="3"/>
    <x v="1"/>
    <x v="0"/>
    <n v="3597.596"/>
    <x v="0"/>
    <x v="1"/>
    <s v="No"/>
  </r>
  <r>
    <n v="47"/>
    <x v="0"/>
    <n v="26.125"/>
    <n v="1"/>
    <x v="0"/>
    <x v="3"/>
    <n v="23401.30575"/>
    <x v="2"/>
    <x v="0"/>
    <s v="Yes"/>
  </r>
  <r>
    <n v="33"/>
    <x v="0"/>
    <n v="35.53"/>
    <n v="0"/>
    <x v="0"/>
    <x v="2"/>
    <n v="55135.402090000003"/>
    <x v="1"/>
    <x v="1"/>
    <s v="Yes"/>
  </r>
  <r>
    <n v="45"/>
    <x v="1"/>
    <n v="33.700000000000003"/>
    <n v="1"/>
    <x v="1"/>
    <x v="0"/>
    <n v="7445.9179999999997"/>
    <x v="2"/>
    <x v="1"/>
    <s v="No"/>
  </r>
  <r>
    <n v="26"/>
    <x v="1"/>
    <n v="17.670000000000002"/>
    <n v="0"/>
    <x v="1"/>
    <x v="2"/>
    <n v="2680.9493000000002"/>
    <x v="0"/>
    <x v="3"/>
    <s v="No"/>
  </r>
  <r>
    <n v="18"/>
    <x v="0"/>
    <n v="31.13"/>
    <n v="0"/>
    <x v="1"/>
    <x v="1"/>
    <n v="1621.8827000000001"/>
    <x v="0"/>
    <x v="1"/>
    <s v="No"/>
  </r>
  <r>
    <n v="44"/>
    <x v="0"/>
    <n v="29.81"/>
    <n v="2"/>
    <x v="1"/>
    <x v="1"/>
    <n v="8219.2039000000004"/>
    <x v="2"/>
    <x v="0"/>
    <s v="No"/>
  </r>
  <r>
    <n v="60"/>
    <x v="1"/>
    <n v="24.32"/>
    <n v="0"/>
    <x v="1"/>
    <x v="2"/>
    <n v="12523.604799999999"/>
    <x v="3"/>
    <x v="2"/>
    <s v="No"/>
  </r>
  <r>
    <n v="64"/>
    <x v="0"/>
    <n v="31.824999999999999"/>
    <n v="2"/>
    <x v="1"/>
    <x v="3"/>
    <n v="16069.08475"/>
    <x v="3"/>
    <x v="1"/>
    <s v="No"/>
  </r>
  <r>
    <n v="56"/>
    <x v="1"/>
    <n v="31.79"/>
    <n v="2"/>
    <x v="0"/>
    <x v="1"/>
    <n v="43813.866099999999"/>
    <x v="4"/>
    <x v="1"/>
    <s v="Yes"/>
  </r>
  <r>
    <n v="36"/>
    <x v="1"/>
    <n v="28.024999999999999"/>
    <n v="1"/>
    <x v="0"/>
    <x v="3"/>
    <n v="20773.62775"/>
    <x v="1"/>
    <x v="0"/>
    <s v="Yes"/>
  </r>
  <r>
    <n v="41"/>
    <x v="1"/>
    <n v="30.78"/>
    <n v="3"/>
    <x v="0"/>
    <x v="3"/>
    <n v="39597.407200000001"/>
    <x v="2"/>
    <x v="1"/>
    <s v="Yes"/>
  </r>
  <r>
    <n v="39"/>
    <x v="1"/>
    <n v="21.85"/>
    <n v="1"/>
    <x v="1"/>
    <x v="2"/>
    <n v="6117.4944999999998"/>
    <x v="1"/>
    <x v="2"/>
    <s v="No"/>
  </r>
  <r>
    <n v="63"/>
    <x v="1"/>
    <n v="33.1"/>
    <n v="0"/>
    <x v="1"/>
    <x v="0"/>
    <n v="13393.755999999999"/>
    <x v="3"/>
    <x v="1"/>
    <s v="No"/>
  </r>
  <r>
    <n v="36"/>
    <x v="0"/>
    <n v="25.84"/>
    <n v="0"/>
    <x v="1"/>
    <x v="2"/>
    <n v="5266.3656000000001"/>
    <x v="1"/>
    <x v="0"/>
    <s v="No"/>
  </r>
  <r>
    <n v="28"/>
    <x v="0"/>
    <n v="23.844999999999999"/>
    <n v="2"/>
    <x v="1"/>
    <x v="2"/>
    <n v="4719.7365499999996"/>
    <x v="0"/>
    <x v="2"/>
    <s v="No"/>
  </r>
  <r>
    <n v="58"/>
    <x v="1"/>
    <n v="34.39"/>
    <n v="0"/>
    <x v="1"/>
    <x v="2"/>
    <n v="11743.9341"/>
    <x v="4"/>
    <x v="1"/>
    <s v="No"/>
  </r>
  <r>
    <n v="36"/>
    <x v="1"/>
    <n v="33.82"/>
    <n v="1"/>
    <x v="1"/>
    <x v="2"/>
    <n v="5377.4578000000001"/>
    <x v="1"/>
    <x v="1"/>
    <s v="No"/>
  </r>
  <r>
    <n v="42"/>
    <x v="1"/>
    <n v="35.97"/>
    <n v="2"/>
    <x v="1"/>
    <x v="1"/>
    <n v="7160.3302999999996"/>
    <x v="2"/>
    <x v="1"/>
    <s v="No"/>
  </r>
  <r>
    <n v="36"/>
    <x v="1"/>
    <n v="31.5"/>
    <n v="0"/>
    <x v="1"/>
    <x v="0"/>
    <n v="4402.2330000000002"/>
    <x v="1"/>
    <x v="1"/>
    <s v="No"/>
  </r>
  <r>
    <n v="56"/>
    <x v="0"/>
    <n v="28.31"/>
    <n v="0"/>
    <x v="1"/>
    <x v="3"/>
    <n v="11657.7189"/>
    <x v="4"/>
    <x v="0"/>
    <s v="No"/>
  </r>
  <r>
    <n v="35"/>
    <x v="0"/>
    <n v="23.465"/>
    <n v="2"/>
    <x v="1"/>
    <x v="3"/>
    <n v="6402.2913500000004"/>
    <x v="1"/>
    <x v="2"/>
    <s v="No"/>
  </r>
  <r>
    <n v="59"/>
    <x v="0"/>
    <n v="31.35"/>
    <n v="0"/>
    <x v="1"/>
    <x v="2"/>
    <n v="12622.1795"/>
    <x v="4"/>
    <x v="1"/>
    <s v="No"/>
  </r>
  <r>
    <n v="21"/>
    <x v="1"/>
    <n v="31.1"/>
    <n v="0"/>
    <x v="1"/>
    <x v="0"/>
    <n v="1526.3119999999999"/>
    <x v="0"/>
    <x v="1"/>
    <s v="No"/>
  </r>
  <r>
    <n v="59"/>
    <x v="1"/>
    <n v="24.7"/>
    <n v="0"/>
    <x v="1"/>
    <x v="3"/>
    <n v="12323.936"/>
    <x v="4"/>
    <x v="2"/>
    <s v="No"/>
  </r>
  <r>
    <n v="23"/>
    <x v="0"/>
    <n v="32.78"/>
    <n v="2"/>
    <x v="0"/>
    <x v="1"/>
    <n v="36021.011200000001"/>
    <x v="0"/>
    <x v="1"/>
    <s v="Yes"/>
  </r>
  <r>
    <n v="57"/>
    <x v="0"/>
    <n v="29.81"/>
    <n v="0"/>
    <x v="0"/>
    <x v="1"/>
    <n v="27533.912899999999"/>
    <x v="4"/>
    <x v="0"/>
    <s v="Yes"/>
  </r>
  <r>
    <n v="53"/>
    <x v="1"/>
    <n v="30.495000000000001"/>
    <n v="0"/>
    <x v="1"/>
    <x v="3"/>
    <n v="10072.055050000001"/>
    <x v="4"/>
    <x v="1"/>
    <s v="No"/>
  </r>
  <r>
    <n v="60"/>
    <x v="0"/>
    <n v="32.450000000000003"/>
    <n v="0"/>
    <x v="0"/>
    <x v="1"/>
    <n v="45008.955499999996"/>
    <x v="3"/>
    <x v="1"/>
    <s v="Yes"/>
  </r>
  <r>
    <n v="51"/>
    <x v="0"/>
    <n v="34.200000000000003"/>
    <n v="1"/>
    <x v="1"/>
    <x v="0"/>
    <n v="9872.7009999999991"/>
    <x v="4"/>
    <x v="1"/>
    <s v="No"/>
  </r>
  <r>
    <n v="23"/>
    <x v="1"/>
    <n v="50.38"/>
    <n v="1"/>
    <x v="1"/>
    <x v="1"/>
    <n v="2438.0551999999998"/>
    <x v="0"/>
    <x v="1"/>
    <s v="No"/>
  </r>
  <r>
    <n v="27"/>
    <x v="0"/>
    <n v="24.1"/>
    <n v="0"/>
    <x v="1"/>
    <x v="0"/>
    <n v="2974.1260000000002"/>
    <x v="0"/>
    <x v="2"/>
    <s v="No"/>
  </r>
  <r>
    <n v="55"/>
    <x v="1"/>
    <n v="32.774999999999999"/>
    <n v="0"/>
    <x v="1"/>
    <x v="2"/>
    <n v="10601.632250000001"/>
    <x v="4"/>
    <x v="1"/>
    <s v="No"/>
  </r>
  <r>
    <n v="37"/>
    <x v="0"/>
    <n v="30.78"/>
    <n v="0"/>
    <x v="0"/>
    <x v="3"/>
    <n v="37270.1512"/>
    <x v="1"/>
    <x v="1"/>
    <s v="Yes"/>
  </r>
  <r>
    <n v="61"/>
    <x v="1"/>
    <n v="32.299999999999997"/>
    <n v="2"/>
    <x v="1"/>
    <x v="2"/>
    <n v="14119.62"/>
    <x v="3"/>
    <x v="1"/>
    <s v="No"/>
  </r>
  <r>
    <n v="46"/>
    <x v="0"/>
    <n v="35.53"/>
    <n v="0"/>
    <x v="0"/>
    <x v="3"/>
    <n v="42111.664700000001"/>
    <x v="2"/>
    <x v="1"/>
    <s v="Yes"/>
  </r>
  <r>
    <n v="53"/>
    <x v="0"/>
    <n v="23.75"/>
    <n v="2"/>
    <x v="1"/>
    <x v="3"/>
    <n v="11729.6795"/>
    <x v="4"/>
    <x v="2"/>
    <s v="No"/>
  </r>
  <r>
    <n v="49"/>
    <x v="0"/>
    <n v="23.844999999999999"/>
    <n v="3"/>
    <x v="0"/>
    <x v="3"/>
    <n v="24106.912550000001"/>
    <x v="2"/>
    <x v="2"/>
    <s v="Yes"/>
  </r>
  <r>
    <n v="20"/>
    <x v="0"/>
    <n v="29.6"/>
    <n v="0"/>
    <x v="1"/>
    <x v="0"/>
    <n v="1875.3440000000001"/>
    <x v="0"/>
    <x v="0"/>
    <s v="No"/>
  </r>
  <r>
    <n v="48"/>
    <x v="0"/>
    <n v="33.11"/>
    <n v="0"/>
    <x v="0"/>
    <x v="1"/>
    <n v="40974.164900000003"/>
    <x v="2"/>
    <x v="1"/>
    <s v="Yes"/>
  </r>
  <r>
    <n v="25"/>
    <x v="1"/>
    <n v="24.13"/>
    <n v="0"/>
    <x v="0"/>
    <x v="2"/>
    <n v="15817.985699999999"/>
    <x v="0"/>
    <x v="2"/>
    <s v="No"/>
  </r>
  <r>
    <n v="25"/>
    <x v="0"/>
    <n v="32.229999999999997"/>
    <n v="1"/>
    <x v="1"/>
    <x v="1"/>
    <n v="18218.161390000001"/>
    <x v="0"/>
    <x v="1"/>
    <s v="No"/>
  </r>
  <r>
    <n v="57"/>
    <x v="1"/>
    <n v="28.1"/>
    <n v="0"/>
    <x v="1"/>
    <x v="0"/>
    <n v="10965.446"/>
    <x v="4"/>
    <x v="0"/>
    <s v="No"/>
  </r>
  <r>
    <n v="37"/>
    <x v="0"/>
    <n v="47.6"/>
    <n v="2"/>
    <x v="0"/>
    <x v="0"/>
    <n v="46113.510999999999"/>
    <x v="1"/>
    <x v="1"/>
    <s v="Yes"/>
  </r>
  <r>
    <n v="38"/>
    <x v="0"/>
    <n v="28"/>
    <n v="3"/>
    <x v="1"/>
    <x v="0"/>
    <n v="7151.0919999999996"/>
    <x v="1"/>
    <x v="0"/>
    <s v="No"/>
  </r>
  <r>
    <n v="55"/>
    <x v="0"/>
    <n v="33.534999999999997"/>
    <n v="2"/>
    <x v="1"/>
    <x v="2"/>
    <n v="12269.68865"/>
    <x v="4"/>
    <x v="1"/>
    <s v="No"/>
  </r>
  <r>
    <n v="36"/>
    <x v="0"/>
    <n v="19.855"/>
    <n v="0"/>
    <x v="1"/>
    <x v="3"/>
    <n v="5458.0464499999998"/>
    <x v="1"/>
    <x v="2"/>
    <s v="No"/>
  </r>
  <r>
    <n v="51"/>
    <x v="1"/>
    <n v="25.4"/>
    <n v="0"/>
    <x v="1"/>
    <x v="0"/>
    <n v="8782.4689999999991"/>
    <x v="4"/>
    <x v="0"/>
    <s v="No"/>
  </r>
  <r>
    <n v="40"/>
    <x v="1"/>
    <n v="29.9"/>
    <n v="2"/>
    <x v="1"/>
    <x v="0"/>
    <n v="6600.3609999999999"/>
    <x v="2"/>
    <x v="0"/>
    <s v="No"/>
  </r>
  <r>
    <n v="18"/>
    <x v="1"/>
    <n v="37.29"/>
    <n v="0"/>
    <x v="1"/>
    <x v="1"/>
    <n v="1141.4450999999999"/>
    <x v="0"/>
    <x v="1"/>
    <s v="No"/>
  </r>
  <r>
    <n v="57"/>
    <x v="1"/>
    <n v="43.7"/>
    <n v="1"/>
    <x v="1"/>
    <x v="0"/>
    <n v="11576.13"/>
    <x v="4"/>
    <x v="1"/>
    <s v="No"/>
  </r>
  <r>
    <n v="61"/>
    <x v="1"/>
    <n v="23.655000000000001"/>
    <n v="0"/>
    <x v="1"/>
    <x v="3"/>
    <n v="13129.603450000001"/>
    <x v="3"/>
    <x v="2"/>
    <s v="No"/>
  </r>
  <r>
    <n v="25"/>
    <x v="0"/>
    <n v="24.3"/>
    <n v="3"/>
    <x v="1"/>
    <x v="0"/>
    <n v="4391.652"/>
    <x v="0"/>
    <x v="2"/>
    <s v="No"/>
  </r>
  <r>
    <n v="50"/>
    <x v="1"/>
    <n v="36.200000000000003"/>
    <n v="0"/>
    <x v="1"/>
    <x v="0"/>
    <n v="8457.8179999999993"/>
    <x v="4"/>
    <x v="1"/>
    <s v="No"/>
  </r>
  <r>
    <n v="26"/>
    <x v="0"/>
    <n v="29.48"/>
    <n v="1"/>
    <x v="1"/>
    <x v="1"/>
    <n v="3392.3652000000002"/>
    <x v="0"/>
    <x v="0"/>
    <s v="No"/>
  </r>
  <r>
    <n v="42"/>
    <x v="1"/>
    <n v="24.86"/>
    <n v="0"/>
    <x v="1"/>
    <x v="1"/>
    <n v="5966.8873999999996"/>
    <x v="2"/>
    <x v="2"/>
    <s v="No"/>
  </r>
  <r>
    <n v="43"/>
    <x v="1"/>
    <n v="30.1"/>
    <n v="1"/>
    <x v="1"/>
    <x v="0"/>
    <n v="6849.0259999999998"/>
    <x v="2"/>
    <x v="1"/>
    <s v="No"/>
  </r>
  <r>
    <n v="44"/>
    <x v="1"/>
    <n v="21.85"/>
    <n v="3"/>
    <x v="1"/>
    <x v="3"/>
    <n v="8891.1394999999993"/>
    <x v="2"/>
    <x v="2"/>
    <s v="No"/>
  </r>
  <r>
    <n v="23"/>
    <x v="0"/>
    <n v="28.12"/>
    <n v="0"/>
    <x v="1"/>
    <x v="2"/>
    <n v="2690.1138000000001"/>
    <x v="0"/>
    <x v="0"/>
    <s v="No"/>
  </r>
  <r>
    <n v="49"/>
    <x v="0"/>
    <n v="27.1"/>
    <n v="1"/>
    <x v="1"/>
    <x v="0"/>
    <n v="26140.3603"/>
    <x v="2"/>
    <x v="0"/>
    <s v="Yes"/>
  </r>
  <r>
    <n v="33"/>
    <x v="1"/>
    <n v="33.44"/>
    <n v="5"/>
    <x v="1"/>
    <x v="1"/>
    <n v="6653.7885999999999"/>
    <x v="1"/>
    <x v="1"/>
    <s v="No"/>
  </r>
  <r>
    <n v="41"/>
    <x v="1"/>
    <n v="28.8"/>
    <n v="1"/>
    <x v="1"/>
    <x v="0"/>
    <n v="6282.2349999999997"/>
    <x v="2"/>
    <x v="0"/>
    <s v="No"/>
  </r>
  <r>
    <n v="37"/>
    <x v="0"/>
    <n v="29.5"/>
    <n v="2"/>
    <x v="1"/>
    <x v="0"/>
    <n v="6311.9520000000002"/>
    <x v="1"/>
    <x v="0"/>
    <s v="No"/>
  </r>
  <r>
    <n v="22"/>
    <x v="1"/>
    <n v="34.799999999999997"/>
    <n v="3"/>
    <x v="1"/>
    <x v="0"/>
    <n v="3443.0639999999999"/>
    <x v="0"/>
    <x v="1"/>
    <s v="No"/>
  </r>
  <r>
    <n v="23"/>
    <x v="1"/>
    <n v="27.36"/>
    <n v="1"/>
    <x v="1"/>
    <x v="2"/>
    <n v="2789.0574000000001"/>
    <x v="0"/>
    <x v="0"/>
    <s v="No"/>
  </r>
  <r>
    <n v="21"/>
    <x v="0"/>
    <n v="22.135000000000002"/>
    <n v="0"/>
    <x v="1"/>
    <x v="3"/>
    <n v="2585.8506499999999"/>
    <x v="0"/>
    <x v="2"/>
    <s v="No"/>
  </r>
  <r>
    <n v="51"/>
    <x v="0"/>
    <n v="37.049999999999997"/>
    <n v="3"/>
    <x v="0"/>
    <x v="3"/>
    <n v="46255.112500000003"/>
    <x v="4"/>
    <x v="1"/>
    <s v="Yes"/>
  </r>
  <r>
    <n v="25"/>
    <x v="1"/>
    <n v="26.695"/>
    <n v="4"/>
    <x v="1"/>
    <x v="2"/>
    <n v="4877.9810500000003"/>
    <x v="0"/>
    <x v="0"/>
    <s v="No"/>
  </r>
  <r>
    <n v="32"/>
    <x v="1"/>
    <n v="28.93"/>
    <n v="1"/>
    <x v="0"/>
    <x v="1"/>
    <n v="19719.6947"/>
    <x v="1"/>
    <x v="0"/>
    <s v="No"/>
  </r>
  <r>
    <n v="57"/>
    <x v="1"/>
    <n v="28.975000000000001"/>
    <n v="0"/>
    <x v="0"/>
    <x v="3"/>
    <n v="27218.437249999999"/>
    <x v="4"/>
    <x v="0"/>
    <s v="Yes"/>
  </r>
  <r>
    <n v="36"/>
    <x v="0"/>
    <n v="30.02"/>
    <n v="0"/>
    <x v="1"/>
    <x v="2"/>
    <n v="5272.1758"/>
    <x v="1"/>
    <x v="1"/>
    <s v="No"/>
  </r>
  <r>
    <n v="22"/>
    <x v="1"/>
    <n v="39.5"/>
    <n v="0"/>
    <x v="1"/>
    <x v="0"/>
    <n v="1682.597"/>
    <x v="0"/>
    <x v="1"/>
    <s v="No"/>
  </r>
  <r>
    <n v="57"/>
    <x v="1"/>
    <n v="33.630000000000003"/>
    <n v="1"/>
    <x v="1"/>
    <x v="2"/>
    <n v="11945.1327"/>
    <x v="4"/>
    <x v="1"/>
    <s v="No"/>
  </r>
  <r>
    <n v="64"/>
    <x v="0"/>
    <n v="26.885000000000002"/>
    <n v="0"/>
    <x v="0"/>
    <x v="2"/>
    <n v="29330.98315"/>
    <x v="3"/>
    <x v="0"/>
    <s v="Yes"/>
  </r>
  <r>
    <n v="36"/>
    <x v="0"/>
    <n v="29.04"/>
    <n v="4"/>
    <x v="1"/>
    <x v="1"/>
    <n v="7243.8136000000004"/>
    <x v="1"/>
    <x v="0"/>
    <s v="No"/>
  </r>
  <r>
    <n v="54"/>
    <x v="1"/>
    <n v="24.035"/>
    <n v="0"/>
    <x v="1"/>
    <x v="3"/>
    <n v="10422.916649999999"/>
    <x v="4"/>
    <x v="2"/>
    <s v="No"/>
  </r>
  <r>
    <n v="47"/>
    <x v="1"/>
    <n v="38.94"/>
    <n v="2"/>
    <x v="0"/>
    <x v="1"/>
    <n v="44202.653599999998"/>
    <x v="2"/>
    <x v="1"/>
    <s v="Yes"/>
  </r>
  <r>
    <n v="62"/>
    <x v="1"/>
    <n v="32.11"/>
    <n v="0"/>
    <x v="1"/>
    <x v="3"/>
    <n v="13555.0049"/>
    <x v="3"/>
    <x v="1"/>
    <s v="No"/>
  </r>
  <r>
    <n v="61"/>
    <x v="0"/>
    <n v="44"/>
    <n v="0"/>
    <x v="1"/>
    <x v="0"/>
    <n v="13063.883"/>
    <x v="3"/>
    <x v="1"/>
    <s v="No"/>
  </r>
  <r>
    <n v="43"/>
    <x v="0"/>
    <n v="20.045000000000002"/>
    <n v="2"/>
    <x v="0"/>
    <x v="3"/>
    <n v="19798.054550000001"/>
    <x v="2"/>
    <x v="2"/>
    <s v="No"/>
  </r>
  <r>
    <n v="19"/>
    <x v="1"/>
    <n v="25.555"/>
    <n v="1"/>
    <x v="1"/>
    <x v="2"/>
    <n v="2221.5644499999999"/>
    <x v="0"/>
    <x v="0"/>
    <s v="No"/>
  </r>
  <r>
    <n v="18"/>
    <x v="0"/>
    <n v="40.26"/>
    <n v="0"/>
    <x v="1"/>
    <x v="1"/>
    <n v="1634.5734"/>
    <x v="0"/>
    <x v="1"/>
    <s v="No"/>
  </r>
  <r>
    <n v="19"/>
    <x v="0"/>
    <n v="22.515000000000001"/>
    <n v="0"/>
    <x v="1"/>
    <x v="2"/>
    <n v="2117.3388500000001"/>
    <x v="0"/>
    <x v="2"/>
    <s v="No"/>
  </r>
  <r>
    <n v="49"/>
    <x v="1"/>
    <n v="22.515000000000001"/>
    <n v="0"/>
    <x v="1"/>
    <x v="3"/>
    <n v="8688.8588500000005"/>
    <x v="2"/>
    <x v="2"/>
    <s v="No"/>
  </r>
  <r>
    <n v="60"/>
    <x v="1"/>
    <n v="40.92"/>
    <n v="0"/>
    <x v="0"/>
    <x v="1"/>
    <n v="48673.558799999999"/>
    <x v="3"/>
    <x v="1"/>
    <s v="Yes"/>
  </r>
  <r>
    <n v="26"/>
    <x v="1"/>
    <n v="27.265000000000001"/>
    <n v="3"/>
    <x v="1"/>
    <x v="3"/>
    <n v="4661.2863500000003"/>
    <x v="0"/>
    <x v="0"/>
    <s v="No"/>
  </r>
  <r>
    <n v="49"/>
    <x v="1"/>
    <n v="36.85"/>
    <n v="0"/>
    <x v="1"/>
    <x v="1"/>
    <n v="8125.7844999999998"/>
    <x v="2"/>
    <x v="1"/>
    <s v="No"/>
  </r>
  <r>
    <n v="60"/>
    <x v="0"/>
    <n v="35.1"/>
    <n v="0"/>
    <x v="1"/>
    <x v="0"/>
    <n v="12644.589"/>
    <x v="3"/>
    <x v="1"/>
    <s v="No"/>
  </r>
  <r>
    <n v="26"/>
    <x v="0"/>
    <n v="29.355"/>
    <n v="2"/>
    <x v="1"/>
    <x v="3"/>
    <n v="4564.1914500000003"/>
    <x v="0"/>
    <x v="0"/>
    <s v="No"/>
  </r>
  <r>
    <n v="27"/>
    <x v="1"/>
    <n v="32.585000000000001"/>
    <n v="3"/>
    <x v="1"/>
    <x v="3"/>
    <n v="4846.9201499999999"/>
    <x v="0"/>
    <x v="1"/>
    <s v="No"/>
  </r>
  <r>
    <n v="44"/>
    <x v="0"/>
    <n v="32.340000000000003"/>
    <n v="1"/>
    <x v="1"/>
    <x v="1"/>
    <n v="7633.7205999999996"/>
    <x v="2"/>
    <x v="1"/>
    <s v="No"/>
  </r>
  <r>
    <n v="63"/>
    <x v="1"/>
    <n v="39.799999999999997"/>
    <n v="3"/>
    <x v="1"/>
    <x v="0"/>
    <n v="15170.069"/>
    <x v="3"/>
    <x v="1"/>
    <s v="No"/>
  </r>
  <r>
    <n v="32"/>
    <x v="0"/>
    <n v="24.6"/>
    <n v="0"/>
    <x v="0"/>
    <x v="0"/>
    <n v="17496.306"/>
    <x v="1"/>
    <x v="2"/>
    <s v="No"/>
  </r>
  <r>
    <n v="22"/>
    <x v="1"/>
    <n v="28.31"/>
    <n v="1"/>
    <x v="1"/>
    <x v="2"/>
    <n v="2639.0428999999999"/>
    <x v="0"/>
    <x v="0"/>
    <s v="No"/>
  </r>
  <r>
    <n v="18"/>
    <x v="1"/>
    <n v="31.73"/>
    <n v="0"/>
    <x v="0"/>
    <x v="3"/>
    <n v="33732.686699999998"/>
    <x v="0"/>
    <x v="1"/>
    <s v="Yes"/>
  </r>
  <r>
    <n v="59"/>
    <x v="0"/>
    <n v="26.695"/>
    <n v="3"/>
    <x v="1"/>
    <x v="2"/>
    <n v="14382.709049999999"/>
    <x v="4"/>
    <x v="0"/>
    <s v="No"/>
  </r>
  <r>
    <n v="44"/>
    <x v="0"/>
    <n v="27.5"/>
    <n v="1"/>
    <x v="1"/>
    <x v="0"/>
    <n v="7626.9930000000004"/>
    <x v="2"/>
    <x v="0"/>
    <s v="No"/>
  </r>
  <r>
    <n v="33"/>
    <x v="1"/>
    <n v="24.605"/>
    <n v="2"/>
    <x v="1"/>
    <x v="2"/>
    <n v="5257.5079500000002"/>
    <x v="1"/>
    <x v="2"/>
    <s v="No"/>
  </r>
  <r>
    <n v="24"/>
    <x v="0"/>
    <n v="33.99"/>
    <n v="0"/>
    <x v="1"/>
    <x v="1"/>
    <n v="2473.3341"/>
    <x v="0"/>
    <x v="1"/>
    <s v="No"/>
  </r>
  <r>
    <n v="43"/>
    <x v="0"/>
    <n v="26.885000000000002"/>
    <n v="0"/>
    <x v="0"/>
    <x v="2"/>
    <n v="21774.32215"/>
    <x v="2"/>
    <x v="0"/>
    <s v="Yes"/>
  </r>
  <r>
    <n v="45"/>
    <x v="1"/>
    <n v="22.895"/>
    <n v="0"/>
    <x v="0"/>
    <x v="3"/>
    <n v="35069.374519999998"/>
    <x v="2"/>
    <x v="2"/>
    <s v="Yes"/>
  </r>
  <r>
    <n v="61"/>
    <x v="0"/>
    <n v="28.2"/>
    <n v="0"/>
    <x v="1"/>
    <x v="0"/>
    <n v="13041.921"/>
    <x v="3"/>
    <x v="0"/>
    <s v="No"/>
  </r>
  <r>
    <n v="35"/>
    <x v="0"/>
    <n v="34.21"/>
    <n v="1"/>
    <x v="1"/>
    <x v="1"/>
    <n v="5245.2268999999997"/>
    <x v="1"/>
    <x v="1"/>
    <s v="No"/>
  </r>
  <r>
    <n v="62"/>
    <x v="0"/>
    <n v="25"/>
    <n v="0"/>
    <x v="1"/>
    <x v="0"/>
    <n v="13451.121999999999"/>
    <x v="3"/>
    <x v="0"/>
    <s v="No"/>
  </r>
  <r>
    <n v="62"/>
    <x v="0"/>
    <n v="33.200000000000003"/>
    <n v="0"/>
    <x v="1"/>
    <x v="0"/>
    <n v="13462.52"/>
    <x v="3"/>
    <x v="1"/>
    <s v="No"/>
  </r>
  <r>
    <n v="38"/>
    <x v="1"/>
    <n v="31"/>
    <n v="1"/>
    <x v="1"/>
    <x v="0"/>
    <n v="5488.2619999999997"/>
    <x v="1"/>
    <x v="1"/>
    <s v="No"/>
  </r>
  <r>
    <n v="34"/>
    <x v="1"/>
    <n v="35.814999999999998"/>
    <n v="0"/>
    <x v="1"/>
    <x v="2"/>
    <n v="4320.4108500000002"/>
    <x v="1"/>
    <x v="1"/>
    <s v="No"/>
  </r>
  <r>
    <n v="43"/>
    <x v="1"/>
    <n v="23.2"/>
    <n v="0"/>
    <x v="1"/>
    <x v="0"/>
    <n v="6250.4350000000004"/>
    <x v="2"/>
    <x v="2"/>
    <s v="No"/>
  </r>
  <r>
    <n v="50"/>
    <x v="1"/>
    <n v="32.11"/>
    <n v="2"/>
    <x v="1"/>
    <x v="3"/>
    <n v="25333.332839999999"/>
    <x v="4"/>
    <x v="1"/>
    <s v="Yes"/>
  </r>
  <r>
    <n v="19"/>
    <x v="0"/>
    <n v="23.4"/>
    <n v="2"/>
    <x v="1"/>
    <x v="0"/>
    <n v="2913.569"/>
    <x v="0"/>
    <x v="2"/>
    <s v="No"/>
  </r>
  <r>
    <n v="57"/>
    <x v="0"/>
    <n v="20.100000000000001"/>
    <n v="1"/>
    <x v="1"/>
    <x v="0"/>
    <n v="12032.325999999999"/>
    <x v="4"/>
    <x v="2"/>
    <s v="No"/>
  </r>
  <r>
    <n v="62"/>
    <x v="0"/>
    <n v="39.159999999999997"/>
    <n v="0"/>
    <x v="1"/>
    <x v="1"/>
    <n v="13470.804400000001"/>
    <x v="3"/>
    <x v="1"/>
    <s v="No"/>
  </r>
  <r>
    <n v="41"/>
    <x v="1"/>
    <n v="34.21"/>
    <n v="1"/>
    <x v="1"/>
    <x v="1"/>
    <n v="6289.7548999999999"/>
    <x v="2"/>
    <x v="1"/>
    <s v="No"/>
  </r>
  <r>
    <n v="26"/>
    <x v="1"/>
    <n v="46.53"/>
    <n v="1"/>
    <x v="1"/>
    <x v="1"/>
    <n v="2927.0646999999999"/>
    <x v="0"/>
    <x v="1"/>
    <s v="No"/>
  </r>
  <r>
    <n v="39"/>
    <x v="0"/>
    <n v="32.5"/>
    <n v="1"/>
    <x v="1"/>
    <x v="0"/>
    <n v="6238.2979999999998"/>
    <x v="1"/>
    <x v="1"/>
    <s v="No"/>
  </r>
  <r>
    <n v="46"/>
    <x v="1"/>
    <n v="25.8"/>
    <n v="5"/>
    <x v="1"/>
    <x v="0"/>
    <n v="10096.969999999999"/>
    <x v="2"/>
    <x v="0"/>
    <s v="No"/>
  </r>
  <r>
    <n v="45"/>
    <x v="0"/>
    <n v="35.299999999999997"/>
    <n v="0"/>
    <x v="1"/>
    <x v="0"/>
    <n v="7348.1419999999998"/>
    <x v="2"/>
    <x v="1"/>
    <s v="No"/>
  </r>
  <r>
    <n v="32"/>
    <x v="1"/>
    <n v="37.18"/>
    <n v="2"/>
    <x v="1"/>
    <x v="1"/>
    <n v="4673.3922000000002"/>
    <x v="1"/>
    <x v="1"/>
    <s v="No"/>
  </r>
  <r>
    <n v="59"/>
    <x v="0"/>
    <n v="27.5"/>
    <n v="0"/>
    <x v="1"/>
    <x v="0"/>
    <n v="12233.828"/>
    <x v="4"/>
    <x v="0"/>
    <s v="No"/>
  </r>
  <r>
    <n v="44"/>
    <x v="1"/>
    <n v="29.734999999999999"/>
    <n v="2"/>
    <x v="1"/>
    <x v="3"/>
    <n v="32108.662820000001"/>
    <x v="2"/>
    <x v="0"/>
    <s v="Yes"/>
  </r>
  <r>
    <n v="39"/>
    <x v="0"/>
    <n v="24.225000000000001"/>
    <n v="5"/>
    <x v="1"/>
    <x v="2"/>
    <n v="8965.7957499999993"/>
    <x v="1"/>
    <x v="2"/>
    <s v="No"/>
  </r>
  <r>
    <n v="18"/>
    <x v="1"/>
    <n v="26.18"/>
    <n v="2"/>
    <x v="1"/>
    <x v="1"/>
    <n v="2304.0021999999999"/>
    <x v="0"/>
    <x v="0"/>
    <s v="No"/>
  </r>
  <r>
    <n v="53"/>
    <x v="1"/>
    <n v="29.48"/>
    <n v="0"/>
    <x v="1"/>
    <x v="1"/>
    <n v="9487.6442000000006"/>
    <x v="4"/>
    <x v="0"/>
    <s v="No"/>
  </r>
  <r>
    <n v="18"/>
    <x v="1"/>
    <n v="23.21"/>
    <n v="0"/>
    <x v="1"/>
    <x v="1"/>
    <n v="1121.8739"/>
    <x v="0"/>
    <x v="2"/>
    <s v="No"/>
  </r>
  <r>
    <n v="50"/>
    <x v="0"/>
    <n v="46.09"/>
    <n v="1"/>
    <x v="1"/>
    <x v="1"/>
    <n v="9549.5650999999998"/>
    <x v="4"/>
    <x v="1"/>
    <s v="No"/>
  </r>
  <r>
    <n v="18"/>
    <x v="0"/>
    <n v="40.185000000000002"/>
    <n v="0"/>
    <x v="1"/>
    <x v="3"/>
    <n v="2217.4691499999999"/>
    <x v="0"/>
    <x v="1"/>
    <s v="No"/>
  </r>
  <r>
    <n v="19"/>
    <x v="1"/>
    <n v="22.61"/>
    <n v="0"/>
    <x v="1"/>
    <x v="2"/>
    <n v="1628.4709"/>
    <x v="0"/>
    <x v="2"/>
    <s v="No"/>
  </r>
  <r>
    <n v="62"/>
    <x v="1"/>
    <n v="39.93"/>
    <n v="0"/>
    <x v="1"/>
    <x v="1"/>
    <n v="12982.8747"/>
    <x v="3"/>
    <x v="1"/>
    <s v="No"/>
  </r>
  <r>
    <n v="56"/>
    <x v="0"/>
    <n v="35.799999999999997"/>
    <n v="1"/>
    <x v="1"/>
    <x v="0"/>
    <n v="11674.13"/>
    <x v="4"/>
    <x v="1"/>
    <s v="No"/>
  </r>
  <r>
    <n v="42"/>
    <x v="1"/>
    <n v="35.799999999999997"/>
    <n v="2"/>
    <x v="1"/>
    <x v="0"/>
    <n v="7160.0940000000001"/>
    <x v="2"/>
    <x v="1"/>
    <s v="No"/>
  </r>
  <r>
    <n v="37"/>
    <x v="1"/>
    <n v="34.200000000000003"/>
    <n v="1"/>
    <x v="0"/>
    <x v="3"/>
    <n v="39047.285000000003"/>
    <x v="1"/>
    <x v="1"/>
    <s v="Yes"/>
  </r>
  <r>
    <n v="42"/>
    <x v="1"/>
    <n v="31.254999999999999"/>
    <n v="0"/>
    <x v="1"/>
    <x v="2"/>
    <n v="6358.7764500000003"/>
    <x v="2"/>
    <x v="1"/>
    <s v="No"/>
  </r>
  <r>
    <n v="25"/>
    <x v="1"/>
    <n v="29.7"/>
    <n v="3"/>
    <x v="0"/>
    <x v="0"/>
    <n v="19933.457999999999"/>
    <x v="0"/>
    <x v="0"/>
    <s v="No"/>
  </r>
  <r>
    <n v="57"/>
    <x v="1"/>
    <n v="18.335000000000001"/>
    <n v="0"/>
    <x v="1"/>
    <x v="3"/>
    <n v="11534.872649999999"/>
    <x v="4"/>
    <x v="3"/>
    <s v="No"/>
  </r>
  <r>
    <n v="51"/>
    <x v="1"/>
    <n v="42.9"/>
    <n v="2"/>
    <x v="0"/>
    <x v="1"/>
    <n v="47462.894"/>
    <x v="4"/>
    <x v="1"/>
    <s v="Yes"/>
  </r>
  <r>
    <n v="30"/>
    <x v="0"/>
    <n v="28.405000000000001"/>
    <n v="1"/>
    <x v="1"/>
    <x v="2"/>
    <n v="4527.1829500000003"/>
    <x v="1"/>
    <x v="0"/>
    <s v="No"/>
  </r>
  <r>
    <n v="44"/>
    <x v="1"/>
    <n v="30.2"/>
    <n v="2"/>
    <x v="0"/>
    <x v="0"/>
    <n v="38998.546000000002"/>
    <x v="2"/>
    <x v="1"/>
    <s v="Yes"/>
  </r>
  <r>
    <n v="34"/>
    <x v="1"/>
    <n v="27.835000000000001"/>
    <n v="1"/>
    <x v="0"/>
    <x v="2"/>
    <n v="20009.63365"/>
    <x v="1"/>
    <x v="0"/>
    <s v="Yes"/>
  </r>
  <r>
    <n v="31"/>
    <x v="1"/>
    <n v="39.49"/>
    <n v="1"/>
    <x v="1"/>
    <x v="1"/>
    <n v="3875.7341000000001"/>
    <x v="1"/>
    <x v="1"/>
    <s v="No"/>
  </r>
  <r>
    <n v="54"/>
    <x v="1"/>
    <n v="30.8"/>
    <n v="1"/>
    <x v="0"/>
    <x v="1"/>
    <n v="41999.519999999997"/>
    <x v="4"/>
    <x v="1"/>
    <s v="Yes"/>
  </r>
  <r>
    <n v="24"/>
    <x v="1"/>
    <n v="26.79"/>
    <n v="1"/>
    <x v="1"/>
    <x v="2"/>
    <n v="12609.88702"/>
    <x v="0"/>
    <x v="0"/>
    <s v="No"/>
  </r>
  <r>
    <n v="43"/>
    <x v="1"/>
    <n v="34.96"/>
    <n v="1"/>
    <x v="0"/>
    <x v="3"/>
    <n v="41034.221400000002"/>
    <x v="2"/>
    <x v="1"/>
    <s v="Yes"/>
  </r>
  <r>
    <n v="48"/>
    <x v="1"/>
    <n v="36.67"/>
    <n v="1"/>
    <x v="1"/>
    <x v="2"/>
    <n v="28468.919010000001"/>
    <x v="2"/>
    <x v="1"/>
    <s v="Yes"/>
  </r>
  <r>
    <n v="19"/>
    <x v="0"/>
    <n v="39.615000000000002"/>
    <n v="1"/>
    <x v="1"/>
    <x v="2"/>
    <n v="2730.1078499999999"/>
    <x v="0"/>
    <x v="1"/>
    <s v="No"/>
  </r>
  <r>
    <n v="29"/>
    <x v="0"/>
    <n v="25.9"/>
    <n v="0"/>
    <x v="1"/>
    <x v="0"/>
    <n v="3353.2840000000001"/>
    <x v="0"/>
    <x v="0"/>
    <s v="No"/>
  </r>
  <r>
    <n v="63"/>
    <x v="0"/>
    <n v="35.200000000000003"/>
    <n v="1"/>
    <x v="1"/>
    <x v="1"/>
    <n v="14474.674999999999"/>
    <x v="3"/>
    <x v="1"/>
    <s v="No"/>
  </r>
  <r>
    <n v="46"/>
    <x v="1"/>
    <n v="24.795000000000002"/>
    <n v="3"/>
    <x v="1"/>
    <x v="3"/>
    <n v="9500.5730500000009"/>
    <x v="2"/>
    <x v="2"/>
    <s v="No"/>
  </r>
  <r>
    <n v="52"/>
    <x v="1"/>
    <n v="36.765000000000001"/>
    <n v="2"/>
    <x v="1"/>
    <x v="2"/>
    <n v="26467.09737"/>
    <x v="4"/>
    <x v="1"/>
    <s v="Yes"/>
  </r>
  <r>
    <n v="35"/>
    <x v="1"/>
    <n v="27.1"/>
    <n v="1"/>
    <x v="1"/>
    <x v="0"/>
    <n v="4746.3440000000001"/>
    <x v="1"/>
    <x v="0"/>
    <s v="No"/>
  </r>
  <r>
    <n v="51"/>
    <x v="1"/>
    <n v="24.795000000000002"/>
    <n v="2"/>
    <x v="0"/>
    <x v="2"/>
    <n v="23967.38305"/>
    <x v="4"/>
    <x v="2"/>
    <s v="Yes"/>
  </r>
  <r>
    <n v="44"/>
    <x v="1"/>
    <n v="25.364999999999998"/>
    <n v="1"/>
    <x v="1"/>
    <x v="2"/>
    <n v="7518.0253499999999"/>
    <x v="2"/>
    <x v="0"/>
    <s v="No"/>
  </r>
  <r>
    <n v="21"/>
    <x v="1"/>
    <n v="25.745000000000001"/>
    <n v="2"/>
    <x v="1"/>
    <x v="3"/>
    <n v="3279.8685500000001"/>
    <x v="0"/>
    <x v="0"/>
    <s v="No"/>
  </r>
  <r>
    <n v="39"/>
    <x v="0"/>
    <n v="34.32"/>
    <n v="5"/>
    <x v="1"/>
    <x v="1"/>
    <n v="8596.8277999999991"/>
    <x v="1"/>
    <x v="1"/>
    <s v="No"/>
  </r>
  <r>
    <n v="50"/>
    <x v="0"/>
    <n v="28.16"/>
    <n v="3"/>
    <x v="1"/>
    <x v="1"/>
    <n v="10702.642400000001"/>
    <x v="4"/>
    <x v="0"/>
    <s v="No"/>
  </r>
  <r>
    <n v="34"/>
    <x v="0"/>
    <n v="23.56"/>
    <n v="0"/>
    <x v="1"/>
    <x v="3"/>
    <n v="4992.3764000000001"/>
    <x v="1"/>
    <x v="2"/>
    <s v="No"/>
  </r>
  <r>
    <n v="22"/>
    <x v="0"/>
    <n v="20.234999999999999"/>
    <n v="0"/>
    <x v="1"/>
    <x v="2"/>
    <n v="2527.8186500000002"/>
    <x v="0"/>
    <x v="2"/>
    <s v="No"/>
  </r>
  <r>
    <n v="19"/>
    <x v="0"/>
    <n v="40.5"/>
    <n v="0"/>
    <x v="1"/>
    <x v="0"/>
    <n v="1759.338"/>
    <x v="0"/>
    <x v="1"/>
    <s v="No"/>
  </r>
  <r>
    <n v="26"/>
    <x v="1"/>
    <n v="35.42"/>
    <n v="0"/>
    <x v="1"/>
    <x v="1"/>
    <n v="2322.6217999999999"/>
    <x v="0"/>
    <x v="1"/>
    <s v="No"/>
  </r>
  <r>
    <n v="29"/>
    <x v="1"/>
    <n v="22.895"/>
    <n v="0"/>
    <x v="0"/>
    <x v="3"/>
    <n v="16138.762049999999"/>
    <x v="0"/>
    <x v="2"/>
    <s v="No"/>
  </r>
  <r>
    <n v="48"/>
    <x v="1"/>
    <n v="40.15"/>
    <n v="0"/>
    <x v="1"/>
    <x v="1"/>
    <n v="7804.1605"/>
    <x v="2"/>
    <x v="1"/>
    <s v="No"/>
  </r>
  <r>
    <n v="26"/>
    <x v="1"/>
    <n v="29.15"/>
    <n v="1"/>
    <x v="1"/>
    <x v="1"/>
    <n v="2902.9065000000001"/>
    <x v="0"/>
    <x v="0"/>
    <s v="No"/>
  </r>
  <r>
    <n v="45"/>
    <x v="0"/>
    <n v="39.994999999999997"/>
    <n v="3"/>
    <x v="1"/>
    <x v="3"/>
    <n v="9704.6680500000002"/>
    <x v="2"/>
    <x v="1"/>
    <s v="No"/>
  </r>
  <r>
    <n v="36"/>
    <x v="0"/>
    <n v="29.92"/>
    <n v="0"/>
    <x v="1"/>
    <x v="1"/>
    <n v="4889.0367999999999"/>
    <x v="1"/>
    <x v="0"/>
    <s v="No"/>
  </r>
  <r>
    <n v="54"/>
    <x v="1"/>
    <n v="25.46"/>
    <n v="1"/>
    <x v="1"/>
    <x v="3"/>
    <n v="25517.11363"/>
    <x v="4"/>
    <x v="0"/>
    <s v="Yes"/>
  </r>
  <r>
    <n v="34"/>
    <x v="1"/>
    <n v="21.375"/>
    <n v="0"/>
    <x v="1"/>
    <x v="3"/>
    <n v="4500.33925"/>
    <x v="1"/>
    <x v="2"/>
    <s v="No"/>
  </r>
  <r>
    <n v="31"/>
    <x v="1"/>
    <n v="25.9"/>
    <n v="3"/>
    <x v="0"/>
    <x v="0"/>
    <n v="19199.944"/>
    <x v="1"/>
    <x v="0"/>
    <s v="No"/>
  </r>
  <r>
    <n v="27"/>
    <x v="0"/>
    <n v="30.59"/>
    <n v="1"/>
    <x v="1"/>
    <x v="3"/>
    <n v="16796.411940000002"/>
    <x v="0"/>
    <x v="1"/>
    <s v="No"/>
  </r>
  <r>
    <n v="20"/>
    <x v="1"/>
    <n v="30.114999999999998"/>
    <n v="5"/>
    <x v="1"/>
    <x v="3"/>
    <n v="4915.0598499999996"/>
    <x v="0"/>
    <x v="1"/>
    <s v="No"/>
  </r>
  <r>
    <n v="44"/>
    <x v="0"/>
    <n v="25.8"/>
    <n v="1"/>
    <x v="1"/>
    <x v="0"/>
    <n v="7624.63"/>
    <x v="2"/>
    <x v="0"/>
    <s v="No"/>
  </r>
  <r>
    <n v="43"/>
    <x v="1"/>
    <n v="30.114999999999998"/>
    <n v="3"/>
    <x v="1"/>
    <x v="2"/>
    <n v="8410.0468500000006"/>
    <x v="2"/>
    <x v="1"/>
    <s v="No"/>
  </r>
  <r>
    <n v="45"/>
    <x v="0"/>
    <n v="27.645"/>
    <n v="1"/>
    <x v="1"/>
    <x v="2"/>
    <n v="28340.188849999999"/>
    <x v="2"/>
    <x v="0"/>
    <s v="Yes"/>
  </r>
  <r>
    <n v="34"/>
    <x v="1"/>
    <n v="34.674999999999997"/>
    <n v="0"/>
    <x v="1"/>
    <x v="3"/>
    <n v="4518.8262500000001"/>
    <x v="1"/>
    <x v="1"/>
    <s v="No"/>
  </r>
  <r>
    <n v="24"/>
    <x v="0"/>
    <n v="20.52"/>
    <n v="0"/>
    <x v="0"/>
    <x v="3"/>
    <n v="14571.890799999999"/>
    <x v="0"/>
    <x v="2"/>
    <s v="No"/>
  </r>
  <r>
    <n v="26"/>
    <x v="0"/>
    <n v="19.8"/>
    <n v="1"/>
    <x v="1"/>
    <x v="0"/>
    <n v="3378.91"/>
    <x v="0"/>
    <x v="2"/>
    <s v="No"/>
  </r>
  <r>
    <n v="38"/>
    <x v="0"/>
    <n v="27.835000000000001"/>
    <n v="2"/>
    <x v="1"/>
    <x v="3"/>
    <n v="7144.86265"/>
    <x v="1"/>
    <x v="0"/>
    <s v="No"/>
  </r>
  <r>
    <n v="50"/>
    <x v="0"/>
    <n v="31.6"/>
    <n v="2"/>
    <x v="1"/>
    <x v="0"/>
    <n v="10118.424000000001"/>
    <x v="4"/>
    <x v="1"/>
    <s v="No"/>
  </r>
  <r>
    <n v="38"/>
    <x v="1"/>
    <n v="28.27"/>
    <n v="1"/>
    <x v="1"/>
    <x v="1"/>
    <n v="5484.4673000000003"/>
    <x v="1"/>
    <x v="0"/>
    <s v="No"/>
  </r>
  <r>
    <n v="27"/>
    <x v="0"/>
    <n v="20.045000000000002"/>
    <n v="3"/>
    <x v="0"/>
    <x v="2"/>
    <n v="16420.494549999999"/>
    <x v="0"/>
    <x v="2"/>
    <s v="No"/>
  </r>
  <r>
    <n v="39"/>
    <x v="0"/>
    <n v="23.274999999999999"/>
    <n v="3"/>
    <x v="1"/>
    <x v="3"/>
    <n v="7986.4752500000004"/>
    <x v="1"/>
    <x v="2"/>
    <s v="No"/>
  </r>
  <r>
    <n v="39"/>
    <x v="0"/>
    <n v="34.1"/>
    <n v="3"/>
    <x v="1"/>
    <x v="0"/>
    <n v="7418.5219999999999"/>
    <x v="1"/>
    <x v="1"/>
    <s v="No"/>
  </r>
  <r>
    <n v="63"/>
    <x v="0"/>
    <n v="36.85"/>
    <n v="0"/>
    <x v="1"/>
    <x v="1"/>
    <n v="13887.968500000001"/>
    <x v="3"/>
    <x v="1"/>
    <s v="No"/>
  </r>
  <r>
    <n v="33"/>
    <x v="0"/>
    <n v="36.29"/>
    <n v="3"/>
    <x v="1"/>
    <x v="3"/>
    <n v="6551.7501000000002"/>
    <x v="1"/>
    <x v="1"/>
    <s v="No"/>
  </r>
  <r>
    <n v="36"/>
    <x v="0"/>
    <n v="26.885000000000002"/>
    <n v="0"/>
    <x v="1"/>
    <x v="2"/>
    <n v="5267.8181500000001"/>
    <x v="1"/>
    <x v="0"/>
    <s v="No"/>
  </r>
  <r>
    <n v="30"/>
    <x v="1"/>
    <n v="22.99"/>
    <n v="2"/>
    <x v="0"/>
    <x v="2"/>
    <n v="17361.766100000001"/>
    <x v="1"/>
    <x v="2"/>
    <s v="No"/>
  </r>
  <r>
    <n v="24"/>
    <x v="1"/>
    <n v="32.700000000000003"/>
    <n v="0"/>
    <x v="0"/>
    <x v="0"/>
    <n v="34472.841"/>
    <x v="0"/>
    <x v="1"/>
    <s v="Yes"/>
  </r>
  <r>
    <n v="24"/>
    <x v="1"/>
    <n v="25.8"/>
    <n v="0"/>
    <x v="1"/>
    <x v="0"/>
    <n v="1972.95"/>
    <x v="0"/>
    <x v="0"/>
    <s v="No"/>
  </r>
  <r>
    <n v="48"/>
    <x v="1"/>
    <n v="29.6"/>
    <n v="0"/>
    <x v="1"/>
    <x v="0"/>
    <n v="21232.182260000001"/>
    <x v="2"/>
    <x v="0"/>
    <s v="Yes"/>
  </r>
  <r>
    <n v="47"/>
    <x v="1"/>
    <n v="19.190000000000001"/>
    <n v="1"/>
    <x v="1"/>
    <x v="3"/>
    <n v="8627.5411000000004"/>
    <x v="2"/>
    <x v="2"/>
    <s v="No"/>
  </r>
  <r>
    <n v="29"/>
    <x v="1"/>
    <n v="31.73"/>
    <n v="2"/>
    <x v="1"/>
    <x v="2"/>
    <n v="4433.3877000000002"/>
    <x v="0"/>
    <x v="1"/>
    <s v="No"/>
  </r>
  <r>
    <n v="28"/>
    <x v="1"/>
    <n v="29.26"/>
    <n v="2"/>
    <x v="1"/>
    <x v="3"/>
    <n v="4438.2633999999998"/>
    <x v="0"/>
    <x v="0"/>
    <s v="No"/>
  </r>
  <r>
    <n v="47"/>
    <x v="1"/>
    <n v="28.215"/>
    <n v="3"/>
    <x v="0"/>
    <x v="2"/>
    <n v="24915.220850000002"/>
    <x v="2"/>
    <x v="0"/>
    <s v="Yes"/>
  </r>
  <r>
    <n v="25"/>
    <x v="1"/>
    <n v="24.984999999999999"/>
    <n v="2"/>
    <x v="1"/>
    <x v="3"/>
    <n v="23241.47453"/>
    <x v="0"/>
    <x v="2"/>
    <s v="Yes"/>
  </r>
  <r>
    <n v="51"/>
    <x v="1"/>
    <n v="27.74"/>
    <n v="1"/>
    <x v="1"/>
    <x v="3"/>
    <n v="9957.7216000000008"/>
    <x v="4"/>
    <x v="0"/>
    <s v="No"/>
  </r>
  <r>
    <n v="48"/>
    <x v="0"/>
    <n v="22.8"/>
    <n v="0"/>
    <x v="1"/>
    <x v="0"/>
    <n v="8269.0439999999999"/>
    <x v="2"/>
    <x v="2"/>
    <s v="No"/>
  </r>
  <r>
    <n v="43"/>
    <x v="1"/>
    <n v="20.13"/>
    <n v="2"/>
    <x v="0"/>
    <x v="1"/>
    <n v="18767.737700000001"/>
    <x v="2"/>
    <x v="2"/>
    <s v="No"/>
  </r>
  <r>
    <n v="61"/>
    <x v="0"/>
    <n v="33.33"/>
    <n v="4"/>
    <x v="1"/>
    <x v="1"/>
    <n v="36580.282160000002"/>
    <x v="3"/>
    <x v="1"/>
    <s v="Yes"/>
  </r>
  <r>
    <n v="48"/>
    <x v="1"/>
    <n v="32.299999999999997"/>
    <n v="1"/>
    <x v="1"/>
    <x v="2"/>
    <n v="8765.2489999999998"/>
    <x v="2"/>
    <x v="1"/>
    <s v="No"/>
  </r>
  <r>
    <n v="38"/>
    <x v="0"/>
    <n v="27.6"/>
    <n v="0"/>
    <x v="1"/>
    <x v="0"/>
    <n v="5383.5360000000001"/>
    <x v="1"/>
    <x v="0"/>
    <s v="No"/>
  </r>
  <r>
    <n v="59"/>
    <x v="1"/>
    <n v="25.46"/>
    <n v="0"/>
    <x v="1"/>
    <x v="2"/>
    <n v="12124.992399999999"/>
    <x v="4"/>
    <x v="0"/>
    <s v="No"/>
  </r>
  <r>
    <n v="19"/>
    <x v="0"/>
    <n v="24.605"/>
    <n v="1"/>
    <x v="1"/>
    <x v="2"/>
    <n v="2709.24395"/>
    <x v="0"/>
    <x v="2"/>
    <s v="No"/>
  </r>
  <r>
    <n v="26"/>
    <x v="0"/>
    <n v="34.200000000000003"/>
    <n v="2"/>
    <x v="1"/>
    <x v="0"/>
    <n v="3987.9259999999999"/>
    <x v="0"/>
    <x v="1"/>
    <s v="No"/>
  </r>
  <r>
    <n v="54"/>
    <x v="0"/>
    <n v="35.814999999999998"/>
    <n v="3"/>
    <x v="1"/>
    <x v="2"/>
    <n v="12495.290849999999"/>
    <x v="4"/>
    <x v="1"/>
    <s v="No"/>
  </r>
  <r>
    <n v="21"/>
    <x v="0"/>
    <n v="32.68"/>
    <n v="2"/>
    <x v="1"/>
    <x v="2"/>
    <n v="26018.950519999999"/>
    <x v="0"/>
    <x v="1"/>
    <s v="Yes"/>
  </r>
  <r>
    <n v="51"/>
    <x v="1"/>
    <n v="37"/>
    <n v="0"/>
    <x v="1"/>
    <x v="0"/>
    <n v="8798.5930000000008"/>
    <x v="4"/>
    <x v="1"/>
    <s v="No"/>
  </r>
  <r>
    <n v="22"/>
    <x v="0"/>
    <n v="31.02"/>
    <n v="3"/>
    <x v="0"/>
    <x v="1"/>
    <n v="35595.589800000002"/>
    <x v="0"/>
    <x v="1"/>
    <s v="Yes"/>
  </r>
  <r>
    <n v="47"/>
    <x v="1"/>
    <n v="36.08"/>
    <n v="1"/>
    <x v="0"/>
    <x v="1"/>
    <n v="42211.138200000001"/>
    <x v="2"/>
    <x v="1"/>
    <s v="Yes"/>
  </r>
  <r>
    <n v="18"/>
    <x v="1"/>
    <n v="23.32"/>
    <n v="1"/>
    <x v="1"/>
    <x v="1"/>
    <n v="1711.0268000000001"/>
    <x v="0"/>
    <x v="2"/>
    <s v="No"/>
  </r>
  <r>
    <n v="47"/>
    <x v="0"/>
    <n v="45.32"/>
    <n v="1"/>
    <x v="1"/>
    <x v="1"/>
    <n v="8569.8618000000006"/>
    <x v="2"/>
    <x v="1"/>
    <s v="No"/>
  </r>
  <r>
    <n v="21"/>
    <x v="0"/>
    <n v="34.6"/>
    <n v="0"/>
    <x v="1"/>
    <x v="0"/>
    <n v="2020.1769999999999"/>
    <x v="0"/>
    <x v="1"/>
    <s v="No"/>
  </r>
  <r>
    <n v="19"/>
    <x v="1"/>
    <n v="26.03"/>
    <n v="1"/>
    <x v="0"/>
    <x v="2"/>
    <n v="16450.894700000001"/>
    <x v="0"/>
    <x v="0"/>
    <s v="No"/>
  </r>
  <r>
    <n v="23"/>
    <x v="1"/>
    <n v="18.715"/>
    <n v="0"/>
    <x v="1"/>
    <x v="2"/>
    <n v="21595.382290000001"/>
    <x v="0"/>
    <x v="2"/>
    <s v="Yes"/>
  </r>
  <r>
    <n v="54"/>
    <x v="1"/>
    <n v="31.6"/>
    <n v="0"/>
    <x v="1"/>
    <x v="0"/>
    <n v="9850.4320000000007"/>
    <x v="4"/>
    <x v="1"/>
    <s v="No"/>
  </r>
  <r>
    <n v="37"/>
    <x v="0"/>
    <n v="17.29"/>
    <n v="2"/>
    <x v="1"/>
    <x v="3"/>
    <n v="6877.9800999999998"/>
    <x v="1"/>
    <x v="3"/>
    <s v="No"/>
  </r>
  <r>
    <n v="46"/>
    <x v="0"/>
    <n v="23.655000000000001"/>
    <n v="1"/>
    <x v="0"/>
    <x v="2"/>
    <n v="21677.283449999999"/>
    <x v="2"/>
    <x v="2"/>
    <s v="Yes"/>
  </r>
  <r>
    <n v="55"/>
    <x v="0"/>
    <n v="35.200000000000003"/>
    <n v="0"/>
    <x v="0"/>
    <x v="1"/>
    <n v="44423.803"/>
    <x v="4"/>
    <x v="1"/>
    <s v="Yes"/>
  </r>
  <r>
    <n v="30"/>
    <x v="0"/>
    <n v="27.93"/>
    <n v="0"/>
    <x v="1"/>
    <x v="3"/>
    <n v="4137.5227000000004"/>
    <x v="1"/>
    <x v="0"/>
    <s v="No"/>
  </r>
  <r>
    <n v="18"/>
    <x v="1"/>
    <n v="21.565000000000001"/>
    <n v="0"/>
    <x v="0"/>
    <x v="3"/>
    <n v="13747.87235"/>
    <x v="0"/>
    <x v="2"/>
    <s v="No"/>
  </r>
  <r>
    <n v="61"/>
    <x v="1"/>
    <n v="38.380000000000003"/>
    <n v="0"/>
    <x v="1"/>
    <x v="2"/>
    <n v="12950.0712"/>
    <x v="3"/>
    <x v="1"/>
    <s v="No"/>
  </r>
  <r>
    <n v="54"/>
    <x v="0"/>
    <n v="23"/>
    <n v="3"/>
    <x v="1"/>
    <x v="0"/>
    <n v="12094.477999999999"/>
    <x v="4"/>
    <x v="2"/>
    <s v="No"/>
  </r>
  <r>
    <n v="22"/>
    <x v="1"/>
    <n v="37.07"/>
    <n v="2"/>
    <x v="0"/>
    <x v="1"/>
    <n v="37484.4493"/>
    <x v="0"/>
    <x v="1"/>
    <s v="Yes"/>
  </r>
  <r>
    <n v="45"/>
    <x v="0"/>
    <n v="30.495000000000001"/>
    <n v="1"/>
    <x v="0"/>
    <x v="2"/>
    <n v="39725.518049999999"/>
    <x v="2"/>
    <x v="1"/>
    <s v="Yes"/>
  </r>
  <r>
    <n v="22"/>
    <x v="1"/>
    <n v="28.88"/>
    <n v="0"/>
    <x v="1"/>
    <x v="3"/>
    <n v="2250.8352"/>
    <x v="0"/>
    <x v="0"/>
    <s v="No"/>
  </r>
  <r>
    <n v="19"/>
    <x v="1"/>
    <n v="27.265000000000001"/>
    <n v="2"/>
    <x v="1"/>
    <x v="2"/>
    <n v="22493.659640000002"/>
    <x v="0"/>
    <x v="0"/>
    <s v="Yes"/>
  </r>
  <r>
    <n v="35"/>
    <x v="0"/>
    <n v="28.024999999999999"/>
    <n v="0"/>
    <x v="0"/>
    <x v="2"/>
    <n v="20234.854749999999"/>
    <x v="1"/>
    <x v="0"/>
    <s v="Yes"/>
  </r>
  <r>
    <n v="18"/>
    <x v="1"/>
    <n v="23.085000000000001"/>
    <n v="0"/>
    <x v="1"/>
    <x v="3"/>
    <n v="1704.7001499999999"/>
    <x v="0"/>
    <x v="2"/>
    <s v="No"/>
  </r>
  <r>
    <n v="20"/>
    <x v="1"/>
    <n v="30.684999999999999"/>
    <n v="0"/>
    <x v="0"/>
    <x v="3"/>
    <n v="33475.817150000003"/>
    <x v="0"/>
    <x v="1"/>
    <s v="Yes"/>
  </r>
  <r>
    <n v="28"/>
    <x v="0"/>
    <n v="25.8"/>
    <n v="0"/>
    <x v="1"/>
    <x v="0"/>
    <n v="3161.4540000000002"/>
    <x v="0"/>
    <x v="0"/>
    <s v="No"/>
  </r>
  <r>
    <n v="55"/>
    <x v="1"/>
    <n v="35.244999999999997"/>
    <n v="1"/>
    <x v="1"/>
    <x v="3"/>
    <n v="11394.065549999999"/>
    <x v="4"/>
    <x v="1"/>
    <s v="No"/>
  </r>
  <r>
    <n v="43"/>
    <x v="0"/>
    <n v="24.7"/>
    <n v="2"/>
    <x v="0"/>
    <x v="2"/>
    <n v="21880.82"/>
    <x v="2"/>
    <x v="2"/>
    <s v="Yes"/>
  </r>
  <r>
    <n v="43"/>
    <x v="0"/>
    <n v="25.08"/>
    <n v="0"/>
    <x v="1"/>
    <x v="3"/>
    <n v="7325.0482000000002"/>
    <x v="2"/>
    <x v="0"/>
    <s v="No"/>
  </r>
  <r>
    <n v="22"/>
    <x v="1"/>
    <n v="52.58"/>
    <n v="1"/>
    <x v="0"/>
    <x v="1"/>
    <n v="44501.398200000003"/>
    <x v="0"/>
    <x v="1"/>
    <s v="Yes"/>
  </r>
  <r>
    <n v="25"/>
    <x v="0"/>
    <n v="22.515000000000001"/>
    <n v="1"/>
    <x v="1"/>
    <x v="2"/>
    <n v="3594.17085"/>
    <x v="0"/>
    <x v="2"/>
    <s v="No"/>
  </r>
  <r>
    <n v="49"/>
    <x v="1"/>
    <n v="30.9"/>
    <n v="0"/>
    <x v="0"/>
    <x v="0"/>
    <n v="39727.614000000001"/>
    <x v="2"/>
    <x v="1"/>
    <s v="Yes"/>
  </r>
  <r>
    <n v="44"/>
    <x v="0"/>
    <n v="36.954999999999998"/>
    <n v="1"/>
    <x v="1"/>
    <x v="2"/>
    <n v="8023.1354499999998"/>
    <x v="2"/>
    <x v="1"/>
    <s v="No"/>
  </r>
  <r>
    <n v="64"/>
    <x v="1"/>
    <n v="26.41"/>
    <n v="0"/>
    <x v="1"/>
    <x v="3"/>
    <n v="14394.5579"/>
    <x v="3"/>
    <x v="0"/>
    <s v="No"/>
  </r>
  <r>
    <n v="49"/>
    <x v="1"/>
    <n v="29.83"/>
    <n v="1"/>
    <x v="1"/>
    <x v="3"/>
    <n v="9288.0267000000003"/>
    <x v="2"/>
    <x v="0"/>
    <s v="No"/>
  </r>
  <r>
    <n v="47"/>
    <x v="1"/>
    <n v="29.8"/>
    <n v="3"/>
    <x v="0"/>
    <x v="0"/>
    <n v="25309.489000000001"/>
    <x v="2"/>
    <x v="0"/>
    <s v="Yes"/>
  </r>
  <r>
    <n v="27"/>
    <x v="0"/>
    <n v="21.47"/>
    <n v="0"/>
    <x v="1"/>
    <x v="2"/>
    <n v="3353.4703"/>
    <x v="0"/>
    <x v="2"/>
    <s v="No"/>
  </r>
  <r>
    <n v="55"/>
    <x v="1"/>
    <n v="27.645"/>
    <n v="0"/>
    <x v="1"/>
    <x v="2"/>
    <n v="10594.501550000001"/>
    <x v="4"/>
    <x v="0"/>
    <s v="No"/>
  </r>
  <r>
    <n v="48"/>
    <x v="0"/>
    <n v="28.9"/>
    <n v="0"/>
    <x v="1"/>
    <x v="0"/>
    <n v="8277.5229999999992"/>
    <x v="2"/>
    <x v="0"/>
    <s v="No"/>
  </r>
  <r>
    <n v="45"/>
    <x v="0"/>
    <n v="31.79"/>
    <n v="0"/>
    <x v="1"/>
    <x v="1"/>
    <n v="17929.303370000001"/>
    <x v="2"/>
    <x v="1"/>
    <s v="No"/>
  </r>
  <r>
    <n v="24"/>
    <x v="0"/>
    <n v="39.49"/>
    <n v="0"/>
    <x v="1"/>
    <x v="1"/>
    <n v="2480.9791"/>
    <x v="0"/>
    <x v="1"/>
    <s v="No"/>
  </r>
  <r>
    <n v="32"/>
    <x v="1"/>
    <n v="33.82"/>
    <n v="1"/>
    <x v="1"/>
    <x v="2"/>
    <n v="4462.7218000000003"/>
    <x v="1"/>
    <x v="1"/>
    <s v="No"/>
  </r>
  <r>
    <n v="24"/>
    <x v="1"/>
    <n v="32.01"/>
    <n v="0"/>
    <x v="1"/>
    <x v="1"/>
    <n v="1981.5818999999999"/>
    <x v="0"/>
    <x v="1"/>
    <s v="No"/>
  </r>
  <r>
    <n v="57"/>
    <x v="1"/>
    <n v="27.94"/>
    <n v="1"/>
    <x v="1"/>
    <x v="1"/>
    <n v="11554.223599999999"/>
    <x v="4"/>
    <x v="0"/>
    <s v="No"/>
  </r>
  <r>
    <n v="59"/>
    <x v="1"/>
    <n v="41.14"/>
    <n v="1"/>
    <x v="0"/>
    <x v="1"/>
    <n v="48970.247600000002"/>
    <x v="4"/>
    <x v="1"/>
    <s v="Yes"/>
  </r>
  <r>
    <n v="36"/>
    <x v="1"/>
    <n v="28.594999999999999"/>
    <n v="3"/>
    <x v="1"/>
    <x v="2"/>
    <n v="6548.1950500000003"/>
    <x v="1"/>
    <x v="0"/>
    <s v="No"/>
  </r>
  <r>
    <n v="29"/>
    <x v="0"/>
    <n v="25.6"/>
    <n v="4"/>
    <x v="1"/>
    <x v="0"/>
    <n v="5708.8670000000002"/>
    <x v="0"/>
    <x v="0"/>
    <s v="No"/>
  </r>
  <r>
    <n v="42"/>
    <x v="0"/>
    <n v="25.3"/>
    <n v="1"/>
    <x v="1"/>
    <x v="0"/>
    <n v="7045.4989999999998"/>
    <x v="2"/>
    <x v="0"/>
    <s v="No"/>
  </r>
  <r>
    <n v="48"/>
    <x v="1"/>
    <n v="37.29"/>
    <n v="2"/>
    <x v="1"/>
    <x v="1"/>
    <n v="8978.1851000000006"/>
    <x v="2"/>
    <x v="1"/>
    <s v="No"/>
  </r>
  <r>
    <n v="39"/>
    <x v="1"/>
    <n v="42.655000000000001"/>
    <n v="0"/>
    <x v="1"/>
    <x v="3"/>
    <n v="5757.41345"/>
    <x v="1"/>
    <x v="1"/>
    <s v="No"/>
  </r>
  <r>
    <n v="63"/>
    <x v="1"/>
    <n v="21.66"/>
    <n v="1"/>
    <x v="1"/>
    <x v="2"/>
    <n v="14349.8544"/>
    <x v="3"/>
    <x v="2"/>
    <s v="No"/>
  </r>
  <r>
    <n v="54"/>
    <x v="0"/>
    <n v="31.9"/>
    <n v="1"/>
    <x v="1"/>
    <x v="1"/>
    <n v="10928.849"/>
    <x v="4"/>
    <x v="1"/>
    <s v="No"/>
  </r>
  <r>
    <n v="37"/>
    <x v="1"/>
    <n v="37.07"/>
    <n v="1"/>
    <x v="0"/>
    <x v="1"/>
    <n v="39871.704299999998"/>
    <x v="1"/>
    <x v="1"/>
    <s v="Yes"/>
  </r>
  <r>
    <n v="63"/>
    <x v="1"/>
    <n v="31.445"/>
    <n v="0"/>
    <x v="1"/>
    <x v="3"/>
    <n v="13974.455550000001"/>
    <x v="3"/>
    <x v="1"/>
    <s v="No"/>
  </r>
  <r>
    <n v="21"/>
    <x v="1"/>
    <n v="31.254999999999999"/>
    <n v="0"/>
    <x v="1"/>
    <x v="2"/>
    <n v="1909.52745"/>
    <x v="0"/>
    <x v="1"/>
    <s v="No"/>
  </r>
  <r>
    <n v="54"/>
    <x v="0"/>
    <n v="28.88"/>
    <n v="2"/>
    <x v="1"/>
    <x v="3"/>
    <n v="12096.6512"/>
    <x v="4"/>
    <x v="0"/>
    <s v="No"/>
  </r>
  <r>
    <n v="60"/>
    <x v="0"/>
    <n v="18.335000000000001"/>
    <n v="0"/>
    <x v="1"/>
    <x v="3"/>
    <n v="13204.28565"/>
    <x v="3"/>
    <x v="3"/>
    <s v="No"/>
  </r>
  <r>
    <n v="32"/>
    <x v="0"/>
    <n v="29.59"/>
    <n v="1"/>
    <x v="1"/>
    <x v="1"/>
    <n v="4562.8420999999998"/>
    <x v="1"/>
    <x v="0"/>
    <s v="No"/>
  </r>
  <r>
    <n v="47"/>
    <x v="0"/>
    <n v="32"/>
    <n v="1"/>
    <x v="1"/>
    <x v="0"/>
    <n v="8551.3469999999998"/>
    <x v="2"/>
    <x v="1"/>
    <s v="No"/>
  </r>
  <r>
    <n v="21"/>
    <x v="1"/>
    <n v="26.03"/>
    <n v="0"/>
    <x v="1"/>
    <x v="3"/>
    <n v="2102.2647000000002"/>
    <x v="0"/>
    <x v="0"/>
    <s v="No"/>
  </r>
  <r>
    <n v="28"/>
    <x v="1"/>
    <n v="31.68"/>
    <n v="0"/>
    <x v="0"/>
    <x v="1"/>
    <n v="34672.147199999999"/>
    <x v="0"/>
    <x v="1"/>
    <s v="Yes"/>
  </r>
  <r>
    <n v="63"/>
    <x v="1"/>
    <n v="33.659999999999997"/>
    <n v="3"/>
    <x v="1"/>
    <x v="1"/>
    <n v="15161.5344"/>
    <x v="3"/>
    <x v="1"/>
    <s v="No"/>
  </r>
  <r>
    <n v="18"/>
    <x v="1"/>
    <n v="21.78"/>
    <n v="2"/>
    <x v="1"/>
    <x v="1"/>
    <n v="11884.048580000001"/>
    <x v="0"/>
    <x v="2"/>
    <s v="No"/>
  </r>
  <r>
    <n v="32"/>
    <x v="1"/>
    <n v="27.835000000000001"/>
    <n v="1"/>
    <x v="1"/>
    <x v="2"/>
    <n v="4454.40265"/>
    <x v="1"/>
    <x v="0"/>
    <s v="No"/>
  </r>
  <r>
    <n v="38"/>
    <x v="1"/>
    <n v="19.95"/>
    <n v="1"/>
    <x v="1"/>
    <x v="2"/>
    <n v="5855.9025000000001"/>
    <x v="1"/>
    <x v="2"/>
    <s v="No"/>
  </r>
  <r>
    <n v="32"/>
    <x v="1"/>
    <n v="31.5"/>
    <n v="1"/>
    <x v="1"/>
    <x v="0"/>
    <n v="4076.4969999999998"/>
    <x v="1"/>
    <x v="1"/>
    <s v="No"/>
  </r>
  <r>
    <n v="62"/>
    <x v="0"/>
    <n v="30.495000000000001"/>
    <n v="2"/>
    <x v="1"/>
    <x v="2"/>
    <n v="15019.760050000001"/>
    <x v="3"/>
    <x v="1"/>
    <s v="No"/>
  </r>
  <r>
    <n v="39"/>
    <x v="0"/>
    <n v="18.3"/>
    <n v="5"/>
    <x v="0"/>
    <x v="0"/>
    <n v="19023.259999999998"/>
    <x v="1"/>
    <x v="3"/>
    <s v="No"/>
  </r>
  <r>
    <n v="55"/>
    <x v="1"/>
    <n v="28.975000000000001"/>
    <n v="0"/>
    <x v="1"/>
    <x v="3"/>
    <n v="10796.35025"/>
    <x v="4"/>
    <x v="0"/>
    <s v="No"/>
  </r>
  <r>
    <n v="57"/>
    <x v="1"/>
    <n v="31.54"/>
    <n v="0"/>
    <x v="1"/>
    <x v="2"/>
    <n v="11353.2276"/>
    <x v="4"/>
    <x v="1"/>
    <s v="No"/>
  </r>
  <r>
    <n v="52"/>
    <x v="1"/>
    <n v="47.74"/>
    <n v="1"/>
    <x v="1"/>
    <x v="1"/>
    <n v="9748.9105999999992"/>
    <x v="4"/>
    <x v="1"/>
    <s v="No"/>
  </r>
  <r>
    <n v="56"/>
    <x v="1"/>
    <n v="22.1"/>
    <n v="0"/>
    <x v="1"/>
    <x v="0"/>
    <n v="10577.087"/>
    <x v="4"/>
    <x v="2"/>
    <s v="No"/>
  </r>
  <r>
    <n v="47"/>
    <x v="1"/>
    <n v="36.19"/>
    <n v="0"/>
    <x v="0"/>
    <x v="1"/>
    <n v="41676.081100000003"/>
    <x v="2"/>
    <x v="1"/>
    <s v="Yes"/>
  </r>
  <r>
    <n v="55"/>
    <x v="0"/>
    <n v="29.83"/>
    <n v="0"/>
    <x v="1"/>
    <x v="3"/>
    <n v="11286.538699999999"/>
    <x v="4"/>
    <x v="0"/>
    <s v="No"/>
  </r>
  <r>
    <n v="23"/>
    <x v="1"/>
    <n v="32.700000000000003"/>
    <n v="3"/>
    <x v="1"/>
    <x v="0"/>
    <n v="3591.48"/>
    <x v="0"/>
    <x v="1"/>
    <s v="No"/>
  </r>
  <r>
    <n v="22"/>
    <x v="0"/>
    <n v="30.4"/>
    <n v="0"/>
    <x v="0"/>
    <x v="2"/>
    <n v="33907.548000000003"/>
    <x v="0"/>
    <x v="1"/>
    <s v="Yes"/>
  </r>
  <r>
    <n v="50"/>
    <x v="0"/>
    <n v="33.700000000000003"/>
    <n v="4"/>
    <x v="1"/>
    <x v="0"/>
    <n v="11299.343000000001"/>
    <x v="4"/>
    <x v="1"/>
    <s v="No"/>
  </r>
  <r>
    <n v="18"/>
    <x v="0"/>
    <n v="31.35"/>
    <n v="4"/>
    <x v="1"/>
    <x v="3"/>
    <n v="4561.1885000000002"/>
    <x v="0"/>
    <x v="1"/>
    <s v="No"/>
  </r>
  <r>
    <n v="51"/>
    <x v="0"/>
    <n v="34.96"/>
    <n v="2"/>
    <x v="0"/>
    <x v="3"/>
    <n v="44641.197399999997"/>
    <x v="4"/>
    <x v="1"/>
    <s v="Yes"/>
  </r>
  <r>
    <n v="22"/>
    <x v="1"/>
    <n v="33.770000000000003"/>
    <n v="0"/>
    <x v="1"/>
    <x v="1"/>
    <n v="1674.6323"/>
    <x v="0"/>
    <x v="1"/>
    <s v="No"/>
  </r>
  <r>
    <n v="52"/>
    <x v="0"/>
    <n v="30.875"/>
    <n v="0"/>
    <x v="1"/>
    <x v="3"/>
    <n v="23045.566159999998"/>
    <x v="4"/>
    <x v="1"/>
    <s v="Yes"/>
  </r>
  <r>
    <n v="25"/>
    <x v="0"/>
    <n v="33.99"/>
    <n v="1"/>
    <x v="1"/>
    <x v="1"/>
    <n v="3227.1210999999998"/>
    <x v="0"/>
    <x v="1"/>
    <s v="No"/>
  </r>
  <r>
    <n v="33"/>
    <x v="0"/>
    <n v="19.094999999999999"/>
    <n v="2"/>
    <x v="0"/>
    <x v="3"/>
    <n v="16776.304049999999"/>
    <x v="1"/>
    <x v="2"/>
    <s v="No"/>
  </r>
  <r>
    <n v="53"/>
    <x v="1"/>
    <n v="28.6"/>
    <n v="3"/>
    <x v="1"/>
    <x v="0"/>
    <n v="11253.421"/>
    <x v="4"/>
    <x v="0"/>
    <s v="No"/>
  </r>
  <r>
    <n v="29"/>
    <x v="1"/>
    <n v="38.94"/>
    <n v="1"/>
    <x v="1"/>
    <x v="1"/>
    <n v="3471.4096"/>
    <x v="0"/>
    <x v="1"/>
    <s v="No"/>
  </r>
  <r>
    <n v="58"/>
    <x v="1"/>
    <n v="36.08"/>
    <n v="0"/>
    <x v="1"/>
    <x v="1"/>
    <n v="11363.2832"/>
    <x v="4"/>
    <x v="1"/>
    <s v="No"/>
  </r>
  <r>
    <n v="37"/>
    <x v="1"/>
    <n v="29.8"/>
    <n v="0"/>
    <x v="1"/>
    <x v="0"/>
    <n v="20420.604650000001"/>
    <x v="1"/>
    <x v="0"/>
    <s v="Yes"/>
  </r>
  <r>
    <n v="54"/>
    <x v="0"/>
    <n v="31.24"/>
    <n v="0"/>
    <x v="1"/>
    <x v="1"/>
    <n v="10338.9316"/>
    <x v="4"/>
    <x v="1"/>
    <s v="No"/>
  </r>
  <r>
    <n v="49"/>
    <x v="0"/>
    <n v="29.925000000000001"/>
    <n v="0"/>
    <x v="1"/>
    <x v="2"/>
    <n v="8988.1587500000005"/>
    <x v="2"/>
    <x v="0"/>
    <s v="No"/>
  </r>
  <r>
    <n v="50"/>
    <x v="0"/>
    <n v="26.22"/>
    <n v="2"/>
    <x v="1"/>
    <x v="2"/>
    <n v="10493.9458"/>
    <x v="4"/>
    <x v="0"/>
    <s v="No"/>
  </r>
  <r>
    <n v="26"/>
    <x v="1"/>
    <n v="30"/>
    <n v="1"/>
    <x v="1"/>
    <x v="0"/>
    <n v="2904.0880000000002"/>
    <x v="0"/>
    <x v="1"/>
    <s v="No"/>
  </r>
  <r>
    <n v="45"/>
    <x v="1"/>
    <n v="20.350000000000001"/>
    <n v="3"/>
    <x v="1"/>
    <x v="1"/>
    <n v="8605.3615000000009"/>
    <x v="2"/>
    <x v="2"/>
    <s v="No"/>
  </r>
  <r>
    <n v="54"/>
    <x v="0"/>
    <n v="32.299999999999997"/>
    <n v="1"/>
    <x v="1"/>
    <x v="3"/>
    <n v="11512.405000000001"/>
    <x v="4"/>
    <x v="1"/>
    <s v="No"/>
  </r>
  <r>
    <n v="38"/>
    <x v="1"/>
    <n v="38.39"/>
    <n v="3"/>
    <x v="0"/>
    <x v="1"/>
    <n v="41949.244100000004"/>
    <x v="1"/>
    <x v="1"/>
    <s v="Yes"/>
  </r>
  <r>
    <n v="48"/>
    <x v="0"/>
    <n v="25.85"/>
    <n v="3"/>
    <x v="0"/>
    <x v="1"/>
    <n v="24180.933499999999"/>
    <x v="2"/>
    <x v="0"/>
    <s v="Yes"/>
  </r>
  <r>
    <n v="28"/>
    <x v="0"/>
    <n v="26.315000000000001"/>
    <n v="3"/>
    <x v="1"/>
    <x v="2"/>
    <n v="5312.1698500000002"/>
    <x v="0"/>
    <x v="0"/>
    <s v="No"/>
  </r>
  <r>
    <n v="23"/>
    <x v="1"/>
    <n v="24.51"/>
    <n v="0"/>
    <x v="1"/>
    <x v="3"/>
    <n v="2396.0958999999998"/>
    <x v="0"/>
    <x v="2"/>
    <s v="No"/>
  </r>
  <r>
    <n v="55"/>
    <x v="1"/>
    <n v="32.67"/>
    <n v="1"/>
    <x v="1"/>
    <x v="1"/>
    <n v="10807.4863"/>
    <x v="4"/>
    <x v="1"/>
    <s v="No"/>
  </r>
  <r>
    <n v="41"/>
    <x v="1"/>
    <n v="29.64"/>
    <n v="5"/>
    <x v="1"/>
    <x v="3"/>
    <n v="9222.4025999999994"/>
    <x v="2"/>
    <x v="0"/>
    <s v="No"/>
  </r>
  <r>
    <n v="25"/>
    <x v="1"/>
    <n v="33.33"/>
    <n v="2"/>
    <x v="0"/>
    <x v="1"/>
    <n v="36124.573700000001"/>
    <x v="0"/>
    <x v="1"/>
    <s v="Yes"/>
  </r>
  <r>
    <n v="33"/>
    <x v="1"/>
    <n v="35.75"/>
    <n v="1"/>
    <x v="0"/>
    <x v="1"/>
    <n v="38282.749499999998"/>
    <x v="1"/>
    <x v="1"/>
    <s v="Yes"/>
  </r>
  <r>
    <n v="30"/>
    <x v="0"/>
    <n v="19.95"/>
    <n v="3"/>
    <x v="1"/>
    <x v="2"/>
    <n v="5693.4305000000004"/>
    <x v="1"/>
    <x v="2"/>
    <s v="No"/>
  </r>
  <r>
    <n v="23"/>
    <x v="0"/>
    <n v="31.4"/>
    <n v="0"/>
    <x v="0"/>
    <x v="0"/>
    <n v="34166.273000000001"/>
    <x v="0"/>
    <x v="1"/>
    <s v="Yes"/>
  </r>
  <r>
    <n v="46"/>
    <x v="1"/>
    <n v="38.17"/>
    <n v="2"/>
    <x v="1"/>
    <x v="1"/>
    <n v="8347.1643000000004"/>
    <x v="2"/>
    <x v="1"/>
    <s v="No"/>
  </r>
  <r>
    <n v="53"/>
    <x v="0"/>
    <n v="36.86"/>
    <n v="3"/>
    <x v="0"/>
    <x v="2"/>
    <n v="46661.4424"/>
    <x v="4"/>
    <x v="1"/>
    <s v="Yes"/>
  </r>
  <r>
    <n v="27"/>
    <x v="0"/>
    <n v="32.395000000000003"/>
    <n v="1"/>
    <x v="1"/>
    <x v="3"/>
    <n v="18903.491409999999"/>
    <x v="0"/>
    <x v="1"/>
    <s v="No"/>
  </r>
  <r>
    <n v="23"/>
    <x v="0"/>
    <n v="42.75"/>
    <n v="1"/>
    <x v="0"/>
    <x v="3"/>
    <n v="40904.199500000002"/>
    <x v="0"/>
    <x v="1"/>
    <s v="Yes"/>
  </r>
  <r>
    <n v="63"/>
    <x v="0"/>
    <n v="25.08"/>
    <n v="0"/>
    <x v="1"/>
    <x v="2"/>
    <n v="14254.608200000001"/>
    <x v="3"/>
    <x v="0"/>
    <s v="No"/>
  </r>
  <r>
    <n v="55"/>
    <x v="1"/>
    <n v="29.9"/>
    <n v="0"/>
    <x v="1"/>
    <x v="0"/>
    <n v="10214.636"/>
    <x v="4"/>
    <x v="0"/>
    <s v="No"/>
  </r>
  <r>
    <n v="35"/>
    <x v="0"/>
    <n v="35.86"/>
    <n v="2"/>
    <x v="1"/>
    <x v="1"/>
    <n v="5836.5204000000003"/>
    <x v="1"/>
    <x v="1"/>
    <s v="No"/>
  </r>
  <r>
    <n v="34"/>
    <x v="1"/>
    <n v="32.799999999999997"/>
    <n v="1"/>
    <x v="1"/>
    <x v="0"/>
    <n v="14358.364369999999"/>
    <x v="1"/>
    <x v="1"/>
    <s v="No"/>
  </r>
  <r>
    <n v="19"/>
    <x v="0"/>
    <n v="18.600000000000001"/>
    <n v="0"/>
    <x v="1"/>
    <x v="0"/>
    <n v="1728.8969999999999"/>
    <x v="0"/>
    <x v="2"/>
    <s v="No"/>
  </r>
  <r>
    <n v="39"/>
    <x v="0"/>
    <n v="23.87"/>
    <n v="5"/>
    <x v="1"/>
    <x v="1"/>
    <n v="8582.3022999999994"/>
    <x v="1"/>
    <x v="2"/>
    <s v="No"/>
  </r>
  <r>
    <n v="27"/>
    <x v="1"/>
    <n v="45.9"/>
    <n v="2"/>
    <x v="1"/>
    <x v="0"/>
    <n v="3693.4279999999999"/>
    <x v="0"/>
    <x v="1"/>
    <s v="No"/>
  </r>
  <r>
    <n v="57"/>
    <x v="1"/>
    <n v="40.28"/>
    <n v="0"/>
    <x v="1"/>
    <x v="3"/>
    <n v="20709.020339999999"/>
    <x v="4"/>
    <x v="1"/>
    <s v="Yes"/>
  </r>
  <r>
    <n v="52"/>
    <x v="0"/>
    <n v="18.335000000000001"/>
    <n v="0"/>
    <x v="1"/>
    <x v="2"/>
    <n v="9991.0376500000002"/>
    <x v="4"/>
    <x v="3"/>
    <s v="No"/>
  </r>
  <r>
    <n v="28"/>
    <x v="1"/>
    <n v="33.82"/>
    <n v="0"/>
    <x v="1"/>
    <x v="2"/>
    <n v="19673.335729999999"/>
    <x v="0"/>
    <x v="1"/>
    <s v="No"/>
  </r>
  <r>
    <n v="50"/>
    <x v="0"/>
    <n v="28.12"/>
    <n v="3"/>
    <x v="1"/>
    <x v="2"/>
    <n v="11085.586799999999"/>
    <x v="4"/>
    <x v="0"/>
    <s v="No"/>
  </r>
  <r>
    <n v="44"/>
    <x v="0"/>
    <n v="25"/>
    <n v="1"/>
    <x v="1"/>
    <x v="0"/>
    <n v="7623.518"/>
    <x v="2"/>
    <x v="0"/>
    <s v="No"/>
  </r>
  <r>
    <n v="26"/>
    <x v="0"/>
    <n v="22.23"/>
    <n v="0"/>
    <x v="1"/>
    <x v="2"/>
    <n v="3176.2876999999999"/>
    <x v="0"/>
    <x v="2"/>
    <s v="No"/>
  </r>
  <r>
    <n v="33"/>
    <x v="1"/>
    <n v="30.25"/>
    <n v="0"/>
    <x v="1"/>
    <x v="1"/>
    <n v="3704.3544999999999"/>
    <x v="1"/>
    <x v="1"/>
    <s v="No"/>
  </r>
  <r>
    <n v="19"/>
    <x v="0"/>
    <n v="32.49"/>
    <n v="0"/>
    <x v="0"/>
    <x v="2"/>
    <n v="36898.733079999998"/>
    <x v="0"/>
    <x v="1"/>
    <s v="Yes"/>
  </r>
  <r>
    <n v="50"/>
    <x v="1"/>
    <n v="37.07"/>
    <n v="1"/>
    <x v="1"/>
    <x v="1"/>
    <n v="9048.0272999999997"/>
    <x v="4"/>
    <x v="1"/>
    <s v="No"/>
  </r>
  <r>
    <n v="41"/>
    <x v="0"/>
    <n v="32.6"/>
    <n v="3"/>
    <x v="1"/>
    <x v="0"/>
    <n v="7954.5169999999998"/>
    <x v="2"/>
    <x v="1"/>
    <s v="No"/>
  </r>
  <r>
    <n v="52"/>
    <x v="0"/>
    <n v="24.86"/>
    <n v="0"/>
    <x v="1"/>
    <x v="1"/>
    <n v="27117.993780000001"/>
    <x v="4"/>
    <x v="2"/>
    <s v="Yes"/>
  </r>
  <r>
    <n v="39"/>
    <x v="1"/>
    <n v="32.340000000000003"/>
    <n v="2"/>
    <x v="1"/>
    <x v="1"/>
    <n v="6338.0756000000001"/>
    <x v="1"/>
    <x v="1"/>
    <s v="No"/>
  </r>
  <r>
    <n v="50"/>
    <x v="1"/>
    <n v="32.299999999999997"/>
    <n v="2"/>
    <x v="1"/>
    <x v="0"/>
    <n v="9630.3970000000008"/>
    <x v="4"/>
    <x v="1"/>
    <s v="No"/>
  </r>
  <r>
    <n v="52"/>
    <x v="1"/>
    <n v="32.774999999999999"/>
    <n v="3"/>
    <x v="1"/>
    <x v="2"/>
    <n v="11289.10925"/>
    <x v="4"/>
    <x v="1"/>
    <s v="No"/>
  </r>
  <r>
    <n v="60"/>
    <x v="1"/>
    <n v="32.799999999999997"/>
    <n v="0"/>
    <x v="0"/>
    <x v="0"/>
    <n v="52590.829389999999"/>
    <x v="3"/>
    <x v="1"/>
    <s v="Yes"/>
  </r>
  <r>
    <n v="20"/>
    <x v="0"/>
    <n v="31.92"/>
    <n v="0"/>
    <x v="1"/>
    <x v="2"/>
    <n v="2261.5688"/>
    <x v="0"/>
    <x v="1"/>
    <s v="No"/>
  </r>
  <r>
    <n v="55"/>
    <x v="1"/>
    <n v="21.5"/>
    <n v="1"/>
    <x v="1"/>
    <x v="0"/>
    <n v="10791.96"/>
    <x v="4"/>
    <x v="2"/>
    <s v="No"/>
  </r>
  <r>
    <n v="42"/>
    <x v="1"/>
    <n v="34.1"/>
    <n v="0"/>
    <x v="1"/>
    <x v="0"/>
    <n v="5979.7309999999998"/>
    <x v="2"/>
    <x v="1"/>
    <s v="No"/>
  </r>
  <r>
    <n v="18"/>
    <x v="0"/>
    <n v="30.305"/>
    <n v="0"/>
    <x v="1"/>
    <x v="3"/>
    <n v="2203.7359499999998"/>
    <x v="0"/>
    <x v="1"/>
    <s v="No"/>
  </r>
  <r>
    <n v="58"/>
    <x v="0"/>
    <n v="36.479999999999997"/>
    <n v="0"/>
    <x v="1"/>
    <x v="2"/>
    <n v="12235.8392"/>
    <x v="4"/>
    <x v="1"/>
    <s v="No"/>
  </r>
  <r>
    <n v="43"/>
    <x v="0"/>
    <n v="32.56"/>
    <n v="3"/>
    <x v="0"/>
    <x v="1"/>
    <n v="40941.285400000001"/>
    <x v="2"/>
    <x v="1"/>
    <s v="Yes"/>
  </r>
  <r>
    <n v="35"/>
    <x v="0"/>
    <n v="35.814999999999998"/>
    <n v="1"/>
    <x v="1"/>
    <x v="2"/>
    <n v="5630.4578499999998"/>
    <x v="1"/>
    <x v="1"/>
    <s v="No"/>
  </r>
  <r>
    <n v="48"/>
    <x v="0"/>
    <n v="27.93"/>
    <n v="4"/>
    <x v="1"/>
    <x v="2"/>
    <n v="11015.1747"/>
    <x v="2"/>
    <x v="0"/>
    <s v="No"/>
  </r>
  <r>
    <n v="36"/>
    <x v="0"/>
    <n v="22.135000000000002"/>
    <n v="3"/>
    <x v="1"/>
    <x v="3"/>
    <n v="7228.2156500000001"/>
    <x v="1"/>
    <x v="2"/>
    <s v="No"/>
  </r>
  <r>
    <n v="19"/>
    <x v="1"/>
    <n v="44.88"/>
    <n v="0"/>
    <x v="0"/>
    <x v="1"/>
    <n v="39722.746200000001"/>
    <x v="0"/>
    <x v="1"/>
    <s v="Yes"/>
  </r>
  <r>
    <n v="23"/>
    <x v="0"/>
    <n v="23.18"/>
    <n v="2"/>
    <x v="1"/>
    <x v="2"/>
    <n v="14426.073850000001"/>
    <x v="0"/>
    <x v="2"/>
    <s v="No"/>
  </r>
  <r>
    <n v="20"/>
    <x v="0"/>
    <n v="30.59"/>
    <n v="0"/>
    <x v="1"/>
    <x v="3"/>
    <n v="2459.7201"/>
    <x v="0"/>
    <x v="1"/>
    <s v="No"/>
  </r>
  <r>
    <n v="32"/>
    <x v="0"/>
    <n v="41.1"/>
    <n v="0"/>
    <x v="1"/>
    <x v="0"/>
    <n v="3989.8409999999999"/>
    <x v="1"/>
    <x v="1"/>
    <s v="No"/>
  </r>
  <r>
    <n v="43"/>
    <x v="0"/>
    <n v="34.58"/>
    <n v="1"/>
    <x v="1"/>
    <x v="2"/>
    <n v="7727.2532000000001"/>
    <x v="2"/>
    <x v="1"/>
    <s v="No"/>
  </r>
  <r>
    <n v="34"/>
    <x v="1"/>
    <n v="42.13"/>
    <n v="2"/>
    <x v="1"/>
    <x v="1"/>
    <n v="5124.1886999999997"/>
    <x v="1"/>
    <x v="1"/>
    <s v="No"/>
  </r>
  <r>
    <n v="30"/>
    <x v="1"/>
    <n v="38.83"/>
    <n v="1"/>
    <x v="1"/>
    <x v="1"/>
    <n v="18963.171920000001"/>
    <x v="1"/>
    <x v="1"/>
    <s v="No"/>
  </r>
  <r>
    <n v="18"/>
    <x v="0"/>
    <n v="28.215"/>
    <n v="0"/>
    <x v="1"/>
    <x v="3"/>
    <n v="2200.8308499999998"/>
    <x v="0"/>
    <x v="0"/>
    <s v="No"/>
  </r>
  <r>
    <n v="41"/>
    <x v="0"/>
    <n v="28.31"/>
    <n v="1"/>
    <x v="1"/>
    <x v="2"/>
    <n v="7153.5538999999999"/>
    <x v="2"/>
    <x v="0"/>
    <s v="No"/>
  </r>
  <r>
    <n v="35"/>
    <x v="0"/>
    <n v="26.125"/>
    <n v="0"/>
    <x v="1"/>
    <x v="3"/>
    <n v="5227.9887500000004"/>
    <x v="1"/>
    <x v="0"/>
    <s v="No"/>
  </r>
  <r>
    <n v="57"/>
    <x v="1"/>
    <n v="40.369999999999997"/>
    <n v="0"/>
    <x v="1"/>
    <x v="1"/>
    <n v="10982.5013"/>
    <x v="4"/>
    <x v="1"/>
    <s v="No"/>
  </r>
  <r>
    <n v="29"/>
    <x v="0"/>
    <n v="24.6"/>
    <n v="2"/>
    <x v="1"/>
    <x v="0"/>
    <n v="4529.4769999999999"/>
    <x v="0"/>
    <x v="2"/>
    <s v="No"/>
  </r>
  <r>
    <n v="32"/>
    <x v="1"/>
    <n v="35.200000000000003"/>
    <n v="2"/>
    <x v="1"/>
    <x v="0"/>
    <n v="4670.6400000000003"/>
    <x v="1"/>
    <x v="1"/>
    <s v="No"/>
  </r>
  <r>
    <n v="37"/>
    <x v="0"/>
    <n v="34.104999999999997"/>
    <n v="1"/>
    <x v="1"/>
    <x v="2"/>
    <n v="6112.3529500000004"/>
    <x v="1"/>
    <x v="1"/>
    <s v="No"/>
  </r>
  <r>
    <n v="18"/>
    <x v="1"/>
    <n v="27.36"/>
    <n v="1"/>
    <x v="0"/>
    <x v="3"/>
    <n v="17178.682400000002"/>
    <x v="0"/>
    <x v="0"/>
    <s v="No"/>
  </r>
  <r>
    <n v="43"/>
    <x v="0"/>
    <n v="26.7"/>
    <n v="2"/>
    <x v="0"/>
    <x v="0"/>
    <n v="22478.6"/>
    <x v="2"/>
    <x v="0"/>
    <s v="Yes"/>
  </r>
  <r>
    <n v="56"/>
    <x v="0"/>
    <n v="41.91"/>
    <n v="0"/>
    <x v="1"/>
    <x v="1"/>
    <n v="11093.6229"/>
    <x v="4"/>
    <x v="1"/>
    <s v="No"/>
  </r>
  <r>
    <n v="38"/>
    <x v="1"/>
    <n v="29.26"/>
    <n v="2"/>
    <x v="1"/>
    <x v="2"/>
    <n v="6457.8433999999997"/>
    <x v="1"/>
    <x v="0"/>
    <s v="No"/>
  </r>
  <r>
    <n v="29"/>
    <x v="1"/>
    <n v="32.11"/>
    <n v="2"/>
    <x v="1"/>
    <x v="2"/>
    <n v="4433.9159"/>
    <x v="0"/>
    <x v="1"/>
    <s v="No"/>
  </r>
  <r>
    <n v="22"/>
    <x v="0"/>
    <n v="27.1"/>
    <n v="0"/>
    <x v="1"/>
    <x v="0"/>
    <n v="2154.3609999999999"/>
    <x v="0"/>
    <x v="0"/>
    <s v="No"/>
  </r>
  <r>
    <n v="52"/>
    <x v="0"/>
    <n v="24.13"/>
    <n v="1"/>
    <x v="0"/>
    <x v="2"/>
    <n v="23887.662700000001"/>
    <x v="4"/>
    <x v="2"/>
    <s v="Yes"/>
  </r>
  <r>
    <n v="40"/>
    <x v="0"/>
    <n v="27.4"/>
    <n v="1"/>
    <x v="1"/>
    <x v="0"/>
    <n v="6496.8860000000004"/>
    <x v="2"/>
    <x v="0"/>
    <s v="No"/>
  </r>
  <r>
    <n v="23"/>
    <x v="0"/>
    <n v="34.865000000000002"/>
    <n v="0"/>
    <x v="1"/>
    <x v="3"/>
    <n v="2899.4893499999998"/>
    <x v="0"/>
    <x v="1"/>
    <s v="No"/>
  </r>
  <r>
    <n v="31"/>
    <x v="1"/>
    <n v="29.81"/>
    <n v="0"/>
    <x v="0"/>
    <x v="1"/>
    <n v="19350.368900000001"/>
    <x v="1"/>
    <x v="0"/>
    <s v="No"/>
  </r>
  <r>
    <n v="42"/>
    <x v="0"/>
    <n v="41.325000000000003"/>
    <n v="1"/>
    <x v="1"/>
    <x v="3"/>
    <n v="7650.7737500000003"/>
    <x v="2"/>
    <x v="1"/>
    <s v="No"/>
  </r>
  <r>
    <n v="24"/>
    <x v="0"/>
    <n v="29.925000000000001"/>
    <n v="0"/>
    <x v="1"/>
    <x v="2"/>
    <n v="2850.6837500000001"/>
    <x v="0"/>
    <x v="0"/>
    <s v="No"/>
  </r>
  <r>
    <n v="25"/>
    <x v="0"/>
    <n v="30.3"/>
    <n v="0"/>
    <x v="1"/>
    <x v="0"/>
    <n v="2632.9920000000002"/>
    <x v="0"/>
    <x v="1"/>
    <s v="No"/>
  </r>
  <r>
    <n v="48"/>
    <x v="0"/>
    <n v="27.36"/>
    <n v="1"/>
    <x v="1"/>
    <x v="3"/>
    <n v="9447.3824000000004"/>
    <x v="2"/>
    <x v="0"/>
    <s v="No"/>
  </r>
  <r>
    <n v="23"/>
    <x v="0"/>
    <n v="28.49"/>
    <n v="1"/>
    <x v="0"/>
    <x v="1"/>
    <n v="18328.238099999999"/>
    <x v="0"/>
    <x v="0"/>
    <s v="No"/>
  </r>
  <r>
    <n v="45"/>
    <x v="1"/>
    <n v="23.56"/>
    <n v="2"/>
    <x v="1"/>
    <x v="3"/>
    <n v="8603.8233999999993"/>
    <x v="2"/>
    <x v="2"/>
    <s v="No"/>
  </r>
  <r>
    <n v="20"/>
    <x v="1"/>
    <n v="35.625"/>
    <n v="3"/>
    <x v="0"/>
    <x v="2"/>
    <n v="37465.34375"/>
    <x v="0"/>
    <x v="1"/>
    <s v="Yes"/>
  </r>
  <r>
    <n v="62"/>
    <x v="0"/>
    <n v="32.68"/>
    <n v="0"/>
    <x v="1"/>
    <x v="2"/>
    <n v="13844.797200000001"/>
    <x v="3"/>
    <x v="1"/>
    <s v="No"/>
  </r>
  <r>
    <n v="43"/>
    <x v="0"/>
    <n v="25.27"/>
    <n v="1"/>
    <x v="0"/>
    <x v="3"/>
    <n v="21771.3423"/>
    <x v="2"/>
    <x v="0"/>
    <s v="Yes"/>
  </r>
  <r>
    <n v="23"/>
    <x v="0"/>
    <n v="28"/>
    <n v="0"/>
    <x v="1"/>
    <x v="0"/>
    <n v="13126.677449999999"/>
    <x v="0"/>
    <x v="0"/>
    <s v="No"/>
  </r>
  <r>
    <n v="31"/>
    <x v="0"/>
    <n v="32.774999999999999"/>
    <n v="2"/>
    <x v="1"/>
    <x v="2"/>
    <n v="5327.4002499999997"/>
    <x v="1"/>
    <x v="1"/>
    <s v="No"/>
  </r>
  <r>
    <n v="41"/>
    <x v="0"/>
    <n v="21.754999999999999"/>
    <n v="1"/>
    <x v="1"/>
    <x v="3"/>
    <n v="13725.47184"/>
    <x v="2"/>
    <x v="2"/>
    <s v="No"/>
  </r>
  <r>
    <n v="58"/>
    <x v="0"/>
    <n v="32.395000000000003"/>
    <n v="1"/>
    <x v="1"/>
    <x v="3"/>
    <n v="13019.161050000001"/>
    <x v="4"/>
    <x v="1"/>
    <s v="No"/>
  </r>
  <r>
    <n v="48"/>
    <x v="0"/>
    <n v="36.575000000000003"/>
    <n v="0"/>
    <x v="1"/>
    <x v="2"/>
    <n v="8671.1912499999999"/>
    <x v="2"/>
    <x v="1"/>
    <s v="No"/>
  </r>
  <r>
    <n v="31"/>
    <x v="0"/>
    <n v="21.754999999999999"/>
    <n v="0"/>
    <x v="1"/>
    <x v="2"/>
    <n v="4134.0824499999999"/>
    <x v="1"/>
    <x v="2"/>
    <s v="No"/>
  </r>
  <r>
    <n v="19"/>
    <x v="0"/>
    <n v="27.93"/>
    <n v="3"/>
    <x v="1"/>
    <x v="2"/>
    <n v="18838.703659999999"/>
    <x v="0"/>
    <x v="0"/>
    <s v="No"/>
  </r>
  <r>
    <n v="19"/>
    <x v="0"/>
    <n v="30.02"/>
    <n v="0"/>
    <x v="0"/>
    <x v="2"/>
    <n v="33307.550799999997"/>
    <x v="0"/>
    <x v="1"/>
    <s v="Yes"/>
  </r>
  <r>
    <n v="41"/>
    <x v="1"/>
    <n v="33.549999999999997"/>
    <n v="0"/>
    <x v="1"/>
    <x v="1"/>
    <n v="5699.8374999999996"/>
    <x v="2"/>
    <x v="1"/>
    <s v="No"/>
  </r>
  <r>
    <n v="40"/>
    <x v="1"/>
    <n v="29.355"/>
    <n v="1"/>
    <x v="1"/>
    <x v="2"/>
    <n v="6393.6034499999996"/>
    <x v="2"/>
    <x v="0"/>
    <s v="No"/>
  </r>
  <r>
    <n v="31"/>
    <x v="0"/>
    <n v="25.8"/>
    <n v="2"/>
    <x v="1"/>
    <x v="0"/>
    <n v="4934.7049999999999"/>
    <x v="1"/>
    <x v="0"/>
    <s v="No"/>
  </r>
  <r>
    <n v="37"/>
    <x v="1"/>
    <n v="24.32"/>
    <n v="2"/>
    <x v="1"/>
    <x v="2"/>
    <n v="6198.7518"/>
    <x v="1"/>
    <x v="2"/>
    <s v="No"/>
  </r>
  <r>
    <n v="46"/>
    <x v="1"/>
    <n v="40.375"/>
    <n v="2"/>
    <x v="1"/>
    <x v="2"/>
    <n v="8733.2292500000003"/>
    <x v="2"/>
    <x v="1"/>
    <s v="No"/>
  </r>
  <r>
    <n v="22"/>
    <x v="1"/>
    <n v="32.11"/>
    <n v="0"/>
    <x v="1"/>
    <x v="2"/>
    <n v="2055.3249000000001"/>
    <x v="0"/>
    <x v="1"/>
    <s v="No"/>
  </r>
  <r>
    <n v="51"/>
    <x v="1"/>
    <n v="32.299999999999997"/>
    <n v="1"/>
    <x v="1"/>
    <x v="3"/>
    <n v="9964.06"/>
    <x v="4"/>
    <x v="1"/>
    <s v="No"/>
  </r>
  <r>
    <n v="18"/>
    <x v="0"/>
    <n v="27.28"/>
    <n v="3"/>
    <x v="0"/>
    <x v="1"/>
    <n v="18223.4512"/>
    <x v="0"/>
    <x v="0"/>
    <s v="No"/>
  </r>
  <r>
    <n v="35"/>
    <x v="1"/>
    <n v="17.86"/>
    <n v="1"/>
    <x v="1"/>
    <x v="2"/>
    <n v="5116.5003999999999"/>
    <x v="1"/>
    <x v="3"/>
    <s v="No"/>
  </r>
  <r>
    <n v="59"/>
    <x v="0"/>
    <n v="34.799999999999997"/>
    <n v="2"/>
    <x v="1"/>
    <x v="0"/>
    <n v="36910.608030000003"/>
    <x v="4"/>
    <x v="1"/>
    <s v="Yes"/>
  </r>
  <r>
    <n v="36"/>
    <x v="1"/>
    <n v="33.4"/>
    <n v="2"/>
    <x v="0"/>
    <x v="0"/>
    <n v="38415.474000000002"/>
    <x v="1"/>
    <x v="1"/>
    <s v="Yes"/>
  </r>
  <r>
    <n v="37"/>
    <x v="0"/>
    <n v="25.555"/>
    <n v="1"/>
    <x v="0"/>
    <x v="3"/>
    <n v="20296.863450000001"/>
    <x v="1"/>
    <x v="0"/>
    <s v="Yes"/>
  </r>
  <r>
    <n v="59"/>
    <x v="1"/>
    <n v="37.1"/>
    <n v="1"/>
    <x v="1"/>
    <x v="0"/>
    <n v="12347.172"/>
    <x v="4"/>
    <x v="1"/>
    <s v="No"/>
  </r>
  <r>
    <n v="36"/>
    <x v="1"/>
    <n v="30.875"/>
    <n v="1"/>
    <x v="1"/>
    <x v="2"/>
    <n v="5373.3642499999996"/>
    <x v="1"/>
    <x v="1"/>
    <s v="No"/>
  </r>
  <r>
    <n v="39"/>
    <x v="1"/>
    <n v="34.1"/>
    <n v="2"/>
    <x v="1"/>
    <x v="1"/>
    <n v="23563.016179999999"/>
    <x v="1"/>
    <x v="1"/>
    <s v="Yes"/>
  </r>
  <r>
    <n v="18"/>
    <x v="1"/>
    <n v="21.47"/>
    <n v="0"/>
    <x v="1"/>
    <x v="3"/>
    <n v="1702.4553000000001"/>
    <x v="0"/>
    <x v="2"/>
    <s v="No"/>
  </r>
  <r>
    <n v="52"/>
    <x v="0"/>
    <n v="33.299999999999997"/>
    <n v="2"/>
    <x v="1"/>
    <x v="0"/>
    <n v="10806.839"/>
    <x v="4"/>
    <x v="1"/>
    <s v="No"/>
  </r>
  <r>
    <n v="27"/>
    <x v="0"/>
    <n v="31.254999999999999"/>
    <n v="1"/>
    <x v="1"/>
    <x v="2"/>
    <n v="3956.0714499999999"/>
    <x v="0"/>
    <x v="1"/>
    <s v="No"/>
  </r>
  <r>
    <n v="18"/>
    <x v="1"/>
    <n v="39.14"/>
    <n v="0"/>
    <x v="1"/>
    <x v="3"/>
    <n v="12890.057650000001"/>
    <x v="0"/>
    <x v="1"/>
    <s v="No"/>
  </r>
  <r>
    <n v="40"/>
    <x v="1"/>
    <n v="25.08"/>
    <n v="0"/>
    <x v="1"/>
    <x v="1"/>
    <n v="5415.6611999999996"/>
    <x v="2"/>
    <x v="0"/>
    <s v="No"/>
  </r>
  <r>
    <n v="29"/>
    <x v="1"/>
    <n v="37.29"/>
    <n v="2"/>
    <x v="1"/>
    <x v="1"/>
    <n v="4058.1161000000002"/>
    <x v="0"/>
    <x v="1"/>
    <s v="No"/>
  </r>
  <r>
    <n v="46"/>
    <x v="0"/>
    <n v="34.6"/>
    <n v="1"/>
    <x v="0"/>
    <x v="0"/>
    <n v="41661.601999999999"/>
    <x v="2"/>
    <x v="1"/>
    <s v="Yes"/>
  </r>
  <r>
    <n v="38"/>
    <x v="0"/>
    <n v="30.21"/>
    <n v="3"/>
    <x v="1"/>
    <x v="2"/>
    <n v="7537.1638999999996"/>
    <x v="1"/>
    <x v="1"/>
    <s v="No"/>
  </r>
  <r>
    <n v="30"/>
    <x v="0"/>
    <n v="21.945"/>
    <n v="1"/>
    <x v="1"/>
    <x v="3"/>
    <n v="4718.2035500000002"/>
    <x v="1"/>
    <x v="2"/>
    <s v="No"/>
  </r>
  <r>
    <n v="40"/>
    <x v="1"/>
    <n v="24.97"/>
    <n v="2"/>
    <x v="1"/>
    <x v="1"/>
    <n v="6593.5083000000004"/>
    <x v="2"/>
    <x v="2"/>
    <s v="No"/>
  </r>
  <r>
    <n v="50"/>
    <x v="1"/>
    <n v="25.3"/>
    <n v="0"/>
    <x v="1"/>
    <x v="1"/>
    <n v="8442.6669999999995"/>
    <x v="4"/>
    <x v="0"/>
    <s v="No"/>
  </r>
  <r>
    <n v="20"/>
    <x v="0"/>
    <n v="24.42"/>
    <n v="0"/>
    <x v="0"/>
    <x v="1"/>
    <n v="26125.674770000001"/>
    <x v="0"/>
    <x v="2"/>
    <s v="Yes"/>
  </r>
  <r>
    <n v="41"/>
    <x v="1"/>
    <n v="23.94"/>
    <n v="1"/>
    <x v="1"/>
    <x v="3"/>
    <n v="6858.4795999999997"/>
    <x v="2"/>
    <x v="2"/>
    <s v="No"/>
  </r>
  <r>
    <n v="33"/>
    <x v="0"/>
    <n v="39.82"/>
    <n v="1"/>
    <x v="1"/>
    <x v="1"/>
    <n v="4795.6567999999997"/>
    <x v="1"/>
    <x v="1"/>
    <s v="No"/>
  </r>
  <r>
    <n v="38"/>
    <x v="1"/>
    <n v="16.815000000000001"/>
    <n v="2"/>
    <x v="1"/>
    <x v="3"/>
    <n v="6640.5448500000002"/>
    <x v="1"/>
    <x v="3"/>
    <s v="No"/>
  </r>
  <r>
    <n v="42"/>
    <x v="1"/>
    <n v="37.18"/>
    <n v="2"/>
    <x v="1"/>
    <x v="1"/>
    <n v="7162.0122000000001"/>
    <x v="2"/>
    <x v="1"/>
    <s v="No"/>
  </r>
  <r>
    <n v="56"/>
    <x v="1"/>
    <n v="34.43"/>
    <n v="0"/>
    <x v="1"/>
    <x v="1"/>
    <n v="10594.225700000001"/>
    <x v="4"/>
    <x v="1"/>
    <s v="No"/>
  </r>
  <r>
    <n v="58"/>
    <x v="1"/>
    <n v="30.305"/>
    <n v="0"/>
    <x v="1"/>
    <x v="3"/>
    <n v="11938.255950000001"/>
    <x v="4"/>
    <x v="1"/>
    <s v="No"/>
  </r>
  <r>
    <n v="52"/>
    <x v="1"/>
    <n v="34.484999999999999"/>
    <n v="3"/>
    <x v="0"/>
    <x v="2"/>
    <n v="60021.398970000002"/>
    <x v="4"/>
    <x v="1"/>
    <s v="Yes"/>
  </r>
  <r>
    <n v="20"/>
    <x v="0"/>
    <n v="21.8"/>
    <n v="0"/>
    <x v="0"/>
    <x v="0"/>
    <n v="20167.336029999999"/>
    <x v="0"/>
    <x v="2"/>
    <s v="Yes"/>
  </r>
  <r>
    <n v="54"/>
    <x v="0"/>
    <n v="24.605"/>
    <n v="3"/>
    <x v="1"/>
    <x v="2"/>
    <n v="12479.70895"/>
    <x v="4"/>
    <x v="2"/>
    <s v="No"/>
  </r>
  <r>
    <n v="58"/>
    <x v="1"/>
    <n v="23.3"/>
    <n v="0"/>
    <x v="1"/>
    <x v="0"/>
    <n v="11345.519"/>
    <x v="4"/>
    <x v="2"/>
    <s v="No"/>
  </r>
  <r>
    <n v="45"/>
    <x v="0"/>
    <n v="27.83"/>
    <n v="2"/>
    <x v="1"/>
    <x v="1"/>
    <n v="8515.7587000000003"/>
    <x v="2"/>
    <x v="0"/>
    <s v="No"/>
  </r>
  <r>
    <n v="26"/>
    <x v="1"/>
    <n v="31.065000000000001"/>
    <n v="0"/>
    <x v="1"/>
    <x v="2"/>
    <n v="2699.56835"/>
    <x v="0"/>
    <x v="1"/>
    <s v="No"/>
  </r>
  <r>
    <n v="63"/>
    <x v="0"/>
    <n v="21.66"/>
    <n v="0"/>
    <x v="1"/>
    <x v="3"/>
    <n v="14449.8544"/>
    <x v="3"/>
    <x v="2"/>
    <s v="No"/>
  </r>
  <r>
    <n v="58"/>
    <x v="0"/>
    <n v="28.215"/>
    <n v="0"/>
    <x v="1"/>
    <x v="2"/>
    <n v="12224.350850000001"/>
    <x v="4"/>
    <x v="0"/>
    <s v="No"/>
  </r>
  <r>
    <n v="37"/>
    <x v="1"/>
    <n v="22.704999999999998"/>
    <n v="3"/>
    <x v="1"/>
    <x v="3"/>
    <n v="6985.50695"/>
    <x v="1"/>
    <x v="2"/>
    <s v="No"/>
  </r>
  <r>
    <n v="25"/>
    <x v="0"/>
    <n v="42.13"/>
    <n v="1"/>
    <x v="1"/>
    <x v="1"/>
    <n v="3238.4357"/>
    <x v="0"/>
    <x v="1"/>
    <s v="No"/>
  </r>
  <r>
    <n v="52"/>
    <x v="1"/>
    <n v="41.8"/>
    <n v="2"/>
    <x v="0"/>
    <x v="1"/>
    <n v="47269.853999999999"/>
    <x v="4"/>
    <x v="1"/>
    <s v="Yes"/>
  </r>
  <r>
    <n v="64"/>
    <x v="1"/>
    <n v="36.96"/>
    <n v="2"/>
    <x v="0"/>
    <x v="1"/>
    <n v="49577.662400000001"/>
    <x v="3"/>
    <x v="1"/>
    <s v="Yes"/>
  </r>
  <r>
    <n v="22"/>
    <x v="0"/>
    <n v="21.28"/>
    <n v="3"/>
    <x v="1"/>
    <x v="2"/>
    <n v="4296.2712000000001"/>
    <x v="0"/>
    <x v="2"/>
    <s v="No"/>
  </r>
  <r>
    <n v="28"/>
    <x v="0"/>
    <n v="33.11"/>
    <n v="0"/>
    <x v="1"/>
    <x v="1"/>
    <n v="3171.6149"/>
    <x v="0"/>
    <x v="1"/>
    <s v="No"/>
  </r>
  <r>
    <n v="18"/>
    <x v="1"/>
    <n v="33.33"/>
    <n v="0"/>
    <x v="1"/>
    <x v="1"/>
    <n v="1135.9407000000001"/>
    <x v="0"/>
    <x v="1"/>
    <s v="No"/>
  </r>
  <r>
    <n v="28"/>
    <x v="1"/>
    <n v="24.3"/>
    <n v="5"/>
    <x v="1"/>
    <x v="0"/>
    <n v="5615.3689999999997"/>
    <x v="0"/>
    <x v="2"/>
    <s v="No"/>
  </r>
  <r>
    <n v="45"/>
    <x v="0"/>
    <n v="25.7"/>
    <n v="3"/>
    <x v="1"/>
    <x v="0"/>
    <n v="9101.7980000000007"/>
    <x v="2"/>
    <x v="0"/>
    <s v="No"/>
  </r>
  <r>
    <n v="33"/>
    <x v="1"/>
    <n v="29.4"/>
    <n v="4"/>
    <x v="1"/>
    <x v="0"/>
    <n v="6059.1729999999998"/>
    <x v="1"/>
    <x v="0"/>
    <s v="No"/>
  </r>
  <r>
    <n v="18"/>
    <x v="0"/>
    <n v="39.82"/>
    <n v="0"/>
    <x v="1"/>
    <x v="1"/>
    <n v="1633.9618"/>
    <x v="0"/>
    <x v="1"/>
    <s v="No"/>
  </r>
  <r>
    <n v="32"/>
    <x v="1"/>
    <n v="33.630000000000003"/>
    <n v="1"/>
    <x v="0"/>
    <x v="3"/>
    <n v="37607.527699999999"/>
    <x v="1"/>
    <x v="1"/>
    <s v="Yes"/>
  </r>
  <r>
    <n v="24"/>
    <x v="1"/>
    <n v="29.83"/>
    <n v="0"/>
    <x v="0"/>
    <x v="3"/>
    <n v="18648.421699999999"/>
    <x v="0"/>
    <x v="0"/>
    <s v="No"/>
  </r>
  <r>
    <n v="19"/>
    <x v="1"/>
    <n v="19.8"/>
    <n v="0"/>
    <x v="1"/>
    <x v="0"/>
    <n v="1241.5650000000001"/>
    <x v="0"/>
    <x v="2"/>
    <s v="No"/>
  </r>
  <r>
    <n v="20"/>
    <x v="1"/>
    <n v="27.3"/>
    <n v="0"/>
    <x v="0"/>
    <x v="0"/>
    <n v="16232.847"/>
    <x v="0"/>
    <x v="0"/>
    <s v="No"/>
  </r>
  <r>
    <n v="40"/>
    <x v="0"/>
    <n v="29.3"/>
    <n v="4"/>
    <x v="1"/>
    <x v="0"/>
    <n v="15828.82173"/>
    <x v="2"/>
    <x v="0"/>
    <s v="No"/>
  </r>
  <r>
    <n v="34"/>
    <x v="0"/>
    <n v="27.72"/>
    <n v="0"/>
    <x v="1"/>
    <x v="1"/>
    <n v="4415.1588000000002"/>
    <x v="1"/>
    <x v="0"/>
    <s v="No"/>
  </r>
  <r>
    <n v="42"/>
    <x v="0"/>
    <n v="37.9"/>
    <n v="0"/>
    <x v="1"/>
    <x v="0"/>
    <n v="6474.0129999999999"/>
    <x v="2"/>
    <x v="1"/>
    <s v="No"/>
  </r>
  <r>
    <n v="51"/>
    <x v="0"/>
    <n v="36.384999999999998"/>
    <n v="3"/>
    <x v="1"/>
    <x v="2"/>
    <n v="11436.738149999999"/>
    <x v="4"/>
    <x v="1"/>
    <s v="No"/>
  </r>
  <r>
    <n v="54"/>
    <x v="0"/>
    <n v="27.645"/>
    <n v="1"/>
    <x v="1"/>
    <x v="2"/>
    <n v="11305.93455"/>
    <x v="4"/>
    <x v="0"/>
    <s v="No"/>
  </r>
  <r>
    <n v="55"/>
    <x v="1"/>
    <n v="37.715000000000003"/>
    <n v="3"/>
    <x v="1"/>
    <x v="2"/>
    <n v="30063.580549999999"/>
    <x v="4"/>
    <x v="1"/>
    <s v="Yes"/>
  </r>
  <r>
    <n v="52"/>
    <x v="0"/>
    <n v="23.18"/>
    <n v="0"/>
    <x v="1"/>
    <x v="3"/>
    <n v="10197.772199999999"/>
    <x v="4"/>
    <x v="2"/>
    <s v="No"/>
  </r>
  <r>
    <n v="32"/>
    <x v="0"/>
    <n v="20.52"/>
    <n v="0"/>
    <x v="1"/>
    <x v="3"/>
    <n v="4544.2348000000002"/>
    <x v="1"/>
    <x v="2"/>
    <s v="No"/>
  </r>
  <r>
    <n v="28"/>
    <x v="1"/>
    <n v="37.1"/>
    <n v="1"/>
    <x v="1"/>
    <x v="0"/>
    <n v="3277.1610000000001"/>
    <x v="0"/>
    <x v="1"/>
    <s v="No"/>
  </r>
  <r>
    <n v="41"/>
    <x v="0"/>
    <n v="28.05"/>
    <n v="1"/>
    <x v="1"/>
    <x v="1"/>
    <n v="6770.1925000000001"/>
    <x v="2"/>
    <x v="0"/>
    <s v="No"/>
  </r>
  <r>
    <n v="43"/>
    <x v="0"/>
    <n v="29.9"/>
    <n v="1"/>
    <x v="1"/>
    <x v="0"/>
    <n v="7337.7479999999996"/>
    <x v="2"/>
    <x v="0"/>
    <s v="No"/>
  </r>
  <r>
    <n v="49"/>
    <x v="0"/>
    <n v="33.344999999999999"/>
    <n v="2"/>
    <x v="1"/>
    <x v="3"/>
    <n v="10370.912549999999"/>
    <x v="2"/>
    <x v="1"/>
    <s v="No"/>
  </r>
  <r>
    <n v="64"/>
    <x v="1"/>
    <n v="23.76"/>
    <n v="0"/>
    <x v="0"/>
    <x v="1"/>
    <n v="26926.5144"/>
    <x v="3"/>
    <x v="2"/>
    <s v="Yes"/>
  </r>
  <r>
    <n v="55"/>
    <x v="0"/>
    <n v="30.5"/>
    <n v="0"/>
    <x v="1"/>
    <x v="0"/>
    <n v="10704.47"/>
    <x v="4"/>
    <x v="1"/>
    <s v="No"/>
  </r>
  <r>
    <n v="24"/>
    <x v="1"/>
    <n v="31.065000000000001"/>
    <n v="0"/>
    <x v="0"/>
    <x v="3"/>
    <n v="34254.053350000002"/>
    <x v="0"/>
    <x v="1"/>
    <s v="Yes"/>
  </r>
  <r>
    <n v="20"/>
    <x v="0"/>
    <n v="33.299999999999997"/>
    <n v="0"/>
    <x v="1"/>
    <x v="0"/>
    <n v="1880.4870000000001"/>
    <x v="0"/>
    <x v="1"/>
    <s v="No"/>
  </r>
  <r>
    <n v="45"/>
    <x v="1"/>
    <n v="27.5"/>
    <n v="3"/>
    <x v="1"/>
    <x v="0"/>
    <n v="8615.2999999999993"/>
    <x v="2"/>
    <x v="0"/>
    <s v="No"/>
  </r>
  <r>
    <n v="26"/>
    <x v="1"/>
    <n v="33.914999999999999"/>
    <n v="1"/>
    <x v="1"/>
    <x v="2"/>
    <n v="3292.5298499999999"/>
    <x v="0"/>
    <x v="1"/>
    <s v="No"/>
  </r>
  <r>
    <n v="25"/>
    <x v="0"/>
    <n v="34.484999999999999"/>
    <n v="0"/>
    <x v="1"/>
    <x v="2"/>
    <n v="3021.80915"/>
    <x v="0"/>
    <x v="1"/>
    <s v="No"/>
  </r>
  <r>
    <n v="43"/>
    <x v="1"/>
    <n v="25.52"/>
    <n v="5"/>
    <x v="1"/>
    <x v="1"/>
    <n v="14478.33015"/>
    <x v="2"/>
    <x v="0"/>
    <s v="No"/>
  </r>
  <r>
    <n v="35"/>
    <x v="1"/>
    <n v="27.61"/>
    <n v="1"/>
    <x v="1"/>
    <x v="1"/>
    <n v="4747.0528999999997"/>
    <x v="1"/>
    <x v="0"/>
    <s v="No"/>
  </r>
  <r>
    <n v="26"/>
    <x v="1"/>
    <n v="27.06"/>
    <n v="0"/>
    <x v="0"/>
    <x v="1"/>
    <n v="17043.341400000001"/>
    <x v="0"/>
    <x v="0"/>
    <s v="No"/>
  </r>
  <r>
    <n v="57"/>
    <x v="1"/>
    <n v="23.7"/>
    <n v="0"/>
    <x v="1"/>
    <x v="0"/>
    <n v="10959.33"/>
    <x v="4"/>
    <x v="2"/>
    <s v="No"/>
  </r>
  <r>
    <n v="22"/>
    <x v="0"/>
    <n v="30.4"/>
    <n v="0"/>
    <x v="1"/>
    <x v="3"/>
    <n v="2741.9479999999999"/>
    <x v="0"/>
    <x v="1"/>
    <s v="No"/>
  </r>
  <r>
    <n v="32"/>
    <x v="0"/>
    <n v="29.734999999999999"/>
    <n v="0"/>
    <x v="1"/>
    <x v="2"/>
    <n v="4357.0436499999996"/>
    <x v="1"/>
    <x v="0"/>
    <s v="No"/>
  </r>
  <r>
    <n v="39"/>
    <x v="1"/>
    <n v="29.925000000000001"/>
    <n v="1"/>
    <x v="0"/>
    <x v="3"/>
    <n v="22462.043750000001"/>
    <x v="1"/>
    <x v="0"/>
    <s v="Yes"/>
  </r>
  <r>
    <n v="25"/>
    <x v="0"/>
    <n v="26.79"/>
    <n v="2"/>
    <x v="1"/>
    <x v="2"/>
    <n v="4189.1130999999996"/>
    <x v="0"/>
    <x v="0"/>
    <s v="No"/>
  </r>
  <r>
    <n v="48"/>
    <x v="0"/>
    <n v="33.33"/>
    <n v="0"/>
    <x v="1"/>
    <x v="1"/>
    <n v="8283.6807000000008"/>
    <x v="2"/>
    <x v="1"/>
    <s v="No"/>
  </r>
  <r>
    <n v="47"/>
    <x v="0"/>
    <n v="27.645"/>
    <n v="2"/>
    <x v="0"/>
    <x v="2"/>
    <n v="24535.698550000001"/>
    <x v="2"/>
    <x v="0"/>
    <s v="Yes"/>
  </r>
  <r>
    <n v="18"/>
    <x v="0"/>
    <n v="21.66"/>
    <n v="0"/>
    <x v="0"/>
    <x v="3"/>
    <n v="14283.4594"/>
    <x v="0"/>
    <x v="2"/>
    <s v="No"/>
  </r>
  <r>
    <n v="18"/>
    <x v="1"/>
    <n v="30.03"/>
    <n v="1"/>
    <x v="1"/>
    <x v="1"/>
    <n v="1720.3536999999999"/>
    <x v="0"/>
    <x v="1"/>
    <s v="No"/>
  </r>
  <r>
    <n v="61"/>
    <x v="1"/>
    <n v="36.299999999999997"/>
    <n v="1"/>
    <x v="0"/>
    <x v="0"/>
    <n v="47403.88"/>
    <x v="3"/>
    <x v="1"/>
    <s v="Yes"/>
  </r>
  <r>
    <n v="47"/>
    <x v="0"/>
    <n v="24.32"/>
    <n v="0"/>
    <x v="1"/>
    <x v="3"/>
    <n v="8534.6718000000001"/>
    <x v="2"/>
    <x v="2"/>
    <s v="No"/>
  </r>
  <r>
    <n v="28"/>
    <x v="0"/>
    <n v="17.29"/>
    <n v="0"/>
    <x v="1"/>
    <x v="3"/>
    <n v="3732.6251000000002"/>
    <x v="0"/>
    <x v="3"/>
    <s v="No"/>
  </r>
  <r>
    <n v="36"/>
    <x v="0"/>
    <n v="25.9"/>
    <n v="1"/>
    <x v="1"/>
    <x v="0"/>
    <n v="5472.4489999999996"/>
    <x v="1"/>
    <x v="0"/>
    <s v="No"/>
  </r>
  <r>
    <n v="20"/>
    <x v="1"/>
    <n v="39.4"/>
    <n v="2"/>
    <x v="0"/>
    <x v="0"/>
    <n v="38344.565999999999"/>
    <x v="0"/>
    <x v="1"/>
    <s v="Yes"/>
  </r>
  <r>
    <n v="44"/>
    <x v="1"/>
    <n v="34.32"/>
    <n v="1"/>
    <x v="1"/>
    <x v="1"/>
    <n v="7147.4727999999996"/>
    <x v="2"/>
    <x v="1"/>
    <s v="No"/>
  </r>
  <r>
    <n v="38"/>
    <x v="0"/>
    <n v="19.95"/>
    <n v="2"/>
    <x v="1"/>
    <x v="3"/>
    <n v="7133.9025000000001"/>
    <x v="1"/>
    <x v="2"/>
    <s v="No"/>
  </r>
  <r>
    <n v="19"/>
    <x v="1"/>
    <n v="34.9"/>
    <n v="0"/>
    <x v="0"/>
    <x v="0"/>
    <n v="34828.654000000002"/>
    <x v="0"/>
    <x v="1"/>
    <s v="Yes"/>
  </r>
  <r>
    <n v="21"/>
    <x v="1"/>
    <n v="23.21"/>
    <n v="0"/>
    <x v="1"/>
    <x v="1"/>
    <n v="1515.3449000000001"/>
    <x v="0"/>
    <x v="2"/>
    <s v="No"/>
  </r>
  <r>
    <n v="46"/>
    <x v="1"/>
    <n v="25.745000000000001"/>
    <n v="3"/>
    <x v="1"/>
    <x v="2"/>
    <n v="9301.8935500000007"/>
    <x v="2"/>
    <x v="0"/>
    <s v="No"/>
  </r>
  <r>
    <n v="58"/>
    <x v="1"/>
    <n v="25.175000000000001"/>
    <n v="0"/>
    <x v="1"/>
    <x v="3"/>
    <n v="11931.125249999999"/>
    <x v="4"/>
    <x v="0"/>
    <s v="No"/>
  </r>
  <r>
    <n v="20"/>
    <x v="1"/>
    <n v="22"/>
    <n v="1"/>
    <x v="1"/>
    <x v="0"/>
    <n v="1964.78"/>
    <x v="0"/>
    <x v="2"/>
    <s v="No"/>
  </r>
  <r>
    <n v="18"/>
    <x v="1"/>
    <n v="26.125"/>
    <n v="0"/>
    <x v="1"/>
    <x v="3"/>
    <n v="1708.9257500000001"/>
    <x v="0"/>
    <x v="0"/>
    <s v="No"/>
  </r>
  <r>
    <n v="28"/>
    <x v="0"/>
    <n v="26.51"/>
    <n v="2"/>
    <x v="1"/>
    <x v="1"/>
    <n v="4340.4408999999996"/>
    <x v="0"/>
    <x v="0"/>
    <s v="No"/>
  </r>
  <r>
    <n v="33"/>
    <x v="1"/>
    <n v="27.454999999999998"/>
    <n v="2"/>
    <x v="1"/>
    <x v="2"/>
    <n v="5261.4694499999996"/>
    <x v="1"/>
    <x v="0"/>
    <s v="No"/>
  </r>
  <r>
    <n v="19"/>
    <x v="0"/>
    <n v="25.745000000000001"/>
    <n v="1"/>
    <x v="1"/>
    <x v="2"/>
    <n v="2710.8285500000002"/>
    <x v="0"/>
    <x v="0"/>
    <s v="No"/>
  </r>
  <r>
    <n v="45"/>
    <x v="1"/>
    <n v="30.36"/>
    <n v="0"/>
    <x v="0"/>
    <x v="1"/>
    <n v="62592.873090000001"/>
    <x v="2"/>
    <x v="1"/>
    <s v="Yes"/>
  </r>
  <r>
    <n v="62"/>
    <x v="1"/>
    <n v="30.875"/>
    <n v="3"/>
    <x v="0"/>
    <x v="2"/>
    <n v="46718.163249999998"/>
    <x v="3"/>
    <x v="1"/>
    <s v="Yes"/>
  </r>
  <r>
    <n v="25"/>
    <x v="0"/>
    <n v="20.8"/>
    <n v="1"/>
    <x v="1"/>
    <x v="0"/>
    <n v="3208.7869999999998"/>
    <x v="0"/>
    <x v="2"/>
    <s v="No"/>
  </r>
  <r>
    <n v="43"/>
    <x v="1"/>
    <n v="27.8"/>
    <n v="0"/>
    <x v="0"/>
    <x v="0"/>
    <n v="37829.724199999997"/>
    <x v="2"/>
    <x v="0"/>
    <s v="Yes"/>
  </r>
  <r>
    <n v="42"/>
    <x v="1"/>
    <n v="24.605"/>
    <n v="2"/>
    <x v="0"/>
    <x v="3"/>
    <n v="21259.377949999998"/>
    <x v="2"/>
    <x v="2"/>
    <s v="Yes"/>
  </r>
  <r>
    <n v="24"/>
    <x v="0"/>
    <n v="27.72"/>
    <n v="0"/>
    <x v="1"/>
    <x v="1"/>
    <n v="2464.6188000000002"/>
    <x v="0"/>
    <x v="0"/>
    <s v="No"/>
  </r>
  <r>
    <n v="29"/>
    <x v="0"/>
    <n v="21.85"/>
    <n v="0"/>
    <x v="0"/>
    <x v="3"/>
    <n v="16115.3045"/>
    <x v="0"/>
    <x v="2"/>
    <s v="No"/>
  </r>
  <r>
    <n v="32"/>
    <x v="1"/>
    <n v="28.12"/>
    <n v="4"/>
    <x v="0"/>
    <x v="2"/>
    <n v="21472.478800000001"/>
    <x v="1"/>
    <x v="0"/>
    <s v="Yes"/>
  </r>
  <r>
    <n v="25"/>
    <x v="0"/>
    <n v="30.2"/>
    <n v="0"/>
    <x v="0"/>
    <x v="0"/>
    <n v="33900.652999999998"/>
    <x v="0"/>
    <x v="1"/>
    <s v="Yes"/>
  </r>
  <r>
    <n v="41"/>
    <x v="1"/>
    <n v="32.200000000000003"/>
    <n v="2"/>
    <x v="1"/>
    <x v="0"/>
    <n v="6875.9610000000002"/>
    <x v="2"/>
    <x v="1"/>
    <s v="No"/>
  </r>
  <r>
    <n v="42"/>
    <x v="1"/>
    <n v="26.315000000000001"/>
    <n v="1"/>
    <x v="1"/>
    <x v="2"/>
    <n v="6940.90985"/>
    <x v="2"/>
    <x v="0"/>
    <s v="No"/>
  </r>
  <r>
    <n v="33"/>
    <x v="0"/>
    <n v="26.695"/>
    <n v="0"/>
    <x v="1"/>
    <x v="2"/>
    <n v="4571.4130500000001"/>
    <x v="1"/>
    <x v="0"/>
    <s v="No"/>
  </r>
  <r>
    <n v="34"/>
    <x v="1"/>
    <n v="42.9"/>
    <n v="1"/>
    <x v="1"/>
    <x v="0"/>
    <n v="4536.259"/>
    <x v="1"/>
    <x v="1"/>
    <s v="No"/>
  </r>
  <r>
    <n v="19"/>
    <x v="0"/>
    <n v="34.700000000000003"/>
    <n v="2"/>
    <x v="0"/>
    <x v="0"/>
    <n v="36397.576000000001"/>
    <x v="0"/>
    <x v="1"/>
    <s v="Yes"/>
  </r>
  <r>
    <n v="30"/>
    <x v="0"/>
    <n v="23.655000000000001"/>
    <n v="3"/>
    <x v="0"/>
    <x v="2"/>
    <n v="18765.87545"/>
    <x v="1"/>
    <x v="2"/>
    <s v="No"/>
  </r>
  <r>
    <n v="18"/>
    <x v="1"/>
    <n v="28.31"/>
    <n v="1"/>
    <x v="1"/>
    <x v="3"/>
    <n v="11272.331389999999"/>
    <x v="0"/>
    <x v="0"/>
    <s v="No"/>
  </r>
  <r>
    <n v="19"/>
    <x v="0"/>
    <n v="20.6"/>
    <n v="0"/>
    <x v="1"/>
    <x v="0"/>
    <n v="1731.6769999999999"/>
    <x v="0"/>
    <x v="2"/>
    <s v="No"/>
  </r>
  <r>
    <n v="18"/>
    <x v="1"/>
    <n v="53.13"/>
    <n v="0"/>
    <x v="1"/>
    <x v="1"/>
    <n v="1163.4627"/>
    <x v="0"/>
    <x v="1"/>
    <s v="No"/>
  </r>
  <r>
    <n v="35"/>
    <x v="1"/>
    <n v="39.71"/>
    <n v="4"/>
    <x v="1"/>
    <x v="3"/>
    <n v="19496.71917"/>
    <x v="1"/>
    <x v="1"/>
    <s v="No"/>
  </r>
  <r>
    <n v="39"/>
    <x v="0"/>
    <n v="26.315000000000001"/>
    <n v="2"/>
    <x v="1"/>
    <x v="2"/>
    <n v="7201.7008500000002"/>
    <x v="1"/>
    <x v="0"/>
    <s v="No"/>
  </r>
  <r>
    <n v="31"/>
    <x v="1"/>
    <n v="31.065000000000001"/>
    <n v="3"/>
    <x v="1"/>
    <x v="2"/>
    <n v="5425.0233500000004"/>
    <x v="1"/>
    <x v="1"/>
    <s v="No"/>
  </r>
  <r>
    <n v="62"/>
    <x v="1"/>
    <n v="26.695"/>
    <n v="0"/>
    <x v="0"/>
    <x v="3"/>
    <n v="28101.333050000001"/>
    <x v="3"/>
    <x v="0"/>
    <s v="Yes"/>
  </r>
  <r>
    <n v="62"/>
    <x v="1"/>
    <n v="38.83"/>
    <n v="0"/>
    <x v="1"/>
    <x v="1"/>
    <n v="12981.3457"/>
    <x v="3"/>
    <x v="1"/>
    <s v="No"/>
  </r>
  <r>
    <n v="42"/>
    <x v="0"/>
    <n v="40.369999999999997"/>
    <n v="2"/>
    <x v="0"/>
    <x v="1"/>
    <n v="43896.376300000004"/>
    <x v="2"/>
    <x v="1"/>
    <s v="Yes"/>
  </r>
  <r>
    <n v="31"/>
    <x v="1"/>
    <n v="25.934999999999999"/>
    <n v="1"/>
    <x v="1"/>
    <x v="2"/>
    <n v="4239.8926499999998"/>
    <x v="1"/>
    <x v="0"/>
    <s v="No"/>
  </r>
  <r>
    <n v="61"/>
    <x v="1"/>
    <n v="33.534999999999997"/>
    <n v="0"/>
    <x v="1"/>
    <x v="3"/>
    <n v="13143.336649999999"/>
    <x v="3"/>
    <x v="1"/>
    <s v="No"/>
  </r>
  <r>
    <n v="42"/>
    <x v="0"/>
    <n v="32.869999999999997"/>
    <n v="0"/>
    <x v="1"/>
    <x v="3"/>
    <n v="7050.0213000000003"/>
    <x v="2"/>
    <x v="1"/>
    <s v="No"/>
  </r>
  <r>
    <n v="51"/>
    <x v="1"/>
    <n v="30.03"/>
    <n v="1"/>
    <x v="1"/>
    <x v="1"/>
    <n v="9377.9046999999991"/>
    <x v="4"/>
    <x v="1"/>
    <s v="No"/>
  </r>
  <r>
    <n v="23"/>
    <x v="0"/>
    <n v="24.225000000000001"/>
    <n v="2"/>
    <x v="1"/>
    <x v="3"/>
    <n v="22395.74424"/>
    <x v="0"/>
    <x v="2"/>
    <s v="Yes"/>
  </r>
  <r>
    <n v="52"/>
    <x v="1"/>
    <n v="38.6"/>
    <n v="2"/>
    <x v="1"/>
    <x v="0"/>
    <n v="10325.206"/>
    <x v="4"/>
    <x v="1"/>
    <s v="No"/>
  </r>
  <r>
    <n v="57"/>
    <x v="0"/>
    <n v="25.74"/>
    <n v="2"/>
    <x v="1"/>
    <x v="1"/>
    <n v="12629.1656"/>
    <x v="4"/>
    <x v="0"/>
    <s v="No"/>
  </r>
  <r>
    <n v="23"/>
    <x v="0"/>
    <n v="33.4"/>
    <n v="0"/>
    <x v="1"/>
    <x v="0"/>
    <n v="10795.937330000001"/>
    <x v="0"/>
    <x v="1"/>
    <s v="No"/>
  </r>
  <r>
    <n v="52"/>
    <x v="0"/>
    <n v="44.7"/>
    <n v="3"/>
    <x v="1"/>
    <x v="0"/>
    <n v="11411.684999999999"/>
    <x v="4"/>
    <x v="1"/>
    <s v="No"/>
  </r>
  <r>
    <n v="50"/>
    <x v="1"/>
    <n v="30.97"/>
    <n v="3"/>
    <x v="1"/>
    <x v="2"/>
    <n v="10600.5483"/>
    <x v="4"/>
    <x v="1"/>
    <s v="No"/>
  </r>
  <r>
    <n v="18"/>
    <x v="0"/>
    <n v="31.92"/>
    <n v="0"/>
    <x v="1"/>
    <x v="3"/>
    <n v="2205.9807999999998"/>
    <x v="0"/>
    <x v="1"/>
    <s v="No"/>
  </r>
  <r>
    <n v="18"/>
    <x v="0"/>
    <n v="36.85"/>
    <n v="0"/>
    <x v="1"/>
    <x v="1"/>
    <n v="1629.8335"/>
    <x v="0"/>
    <x v="1"/>
    <s v="No"/>
  </r>
  <r>
    <n v="21"/>
    <x v="0"/>
    <n v="25.8"/>
    <n v="0"/>
    <x v="1"/>
    <x v="0"/>
    <n v="2007.9449999999999"/>
    <x v="0"/>
    <x v="0"/>
    <s v="No"/>
  </r>
  <r>
    <n v="61"/>
    <x v="0"/>
    <n v="29.07"/>
    <n v="0"/>
    <x v="0"/>
    <x v="2"/>
    <n v="29141.3603"/>
    <x v="3"/>
    <x v="0"/>
    <s v="Y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B83D0AB-7722-44CA-AE9E-7B0A12763105}" name="PivotTable14" cacheId="33"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1" rowHeaderCaption="Smoker">
  <location ref="A1:B3" firstHeaderRow="1" firstDataRow="1" firstDataCol="1"/>
  <pivotFields count="10">
    <pivotField showAll="0"/>
    <pivotField showAll="0">
      <items count="3">
        <item x="0"/>
        <item x="1"/>
        <item t="default"/>
      </items>
    </pivotField>
    <pivotField showAll="0"/>
    <pivotField showAll="0"/>
    <pivotField axis="axisRow" showAll="0">
      <items count="3">
        <item x="1"/>
        <item x="0"/>
        <item t="default"/>
      </items>
    </pivotField>
    <pivotField showAll="0">
      <items count="5">
        <item x="3"/>
        <item x="2"/>
        <item x="1"/>
        <item x="0"/>
        <item t="default"/>
      </items>
    </pivotField>
    <pivotField dataField="1" showAll="0"/>
    <pivotField showAll="0"/>
    <pivotField showAll="0"/>
    <pivotField showAll="0"/>
  </pivotFields>
  <rowFields count="1">
    <field x="4"/>
  </rowFields>
  <rowItems count="2">
    <i>
      <x/>
    </i>
    <i>
      <x v="1"/>
    </i>
  </rowItems>
  <colItems count="1">
    <i/>
  </colItems>
  <dataFields count="1">
    <dataField name="Average of charges" fld="6" subtotal="average" baseField="4" baseItem="0" numFmtId="164"/>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D088DBC-FB3F-455F-90B3-33ACFCF44CC3}" name="PivotTable7" cacheId="3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Region" colHeaderCaption="Smoker">
  <location ref="A24:C29" firstHeaderRow="1" firstDataRow="2" firstDataCol="1"/>
  <pivotFields count="10">
    <pivotField showAll="0"/>
    <pivotField showAll="0">
      <items count="3">
        <item x="0"/>
        <item x="1"/>
        <item t="default"/>
      </items>
    </pivotField>
    <pivotField showAll="0"/>
    <pivotField showAll="0"/>
    <pivotField axis="axisCol" showAll="0">
      <items count="3">
        <item x="1"/>
        <item x="0"/>
        <item t="default"/>
      </items>
    </pivotField>
    <pivotField axis="axisRow" showAll="0">
      <items count="5">
        <item x="3"/>
        <item x="2"/>
        <item x="1"/>
        <item x="0"/>
        <item t="default"/>
      </items>
    </pivotField>
    <pivotField dataField="1" showAll="0"/>
    <pivotField showAll="0"/>
    <pivotField showAll="0"/>
    <pivotField showAll="0"/>
  </pivotFields>
  <rowFields count="1">
    <field x="5"/>
  </rowFields>
  <rowItems count="4">
    <i>
      <x/>
    </i>
    <i>
      <x v="1"/>
    </i>
    <i>
      <x v="2"/>
    </i>
    <i>
      <x v="3"/>
    </i>
  </rowItems>
  <colFields count="1">
    <field x="4"/>
  </colFields>
  <colItems count="2">
    <i>
      <x/>
    </i>
    <i>
      <x v="1"/>
    </i>
  </colItems>
  <dataFields count="1">
    <dataField name="Average of charges" fld="6" subtotal="average" baseField="5"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EE0EEF-8733-4DEE-9E87-7E976389D1D1}" name="PivotTable6" cacheId="3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rowHeaderCaption="Region">
  <location ref="A18:B22" firstHeaderRow="1" firstDataRow="1" firstDataCol="1"/>
  <pivotFields count="10">
    <pivotField showAll="0"/>
    <pivotField showAll="0">
      <items count="3">
        <item x="0"/>
        <item x="1"/>
        <item t="default"/>
      </items>
    </pivotField>
    <pivotField showAll="0"/>
    <pivotField showAll="0"/>
    <pivotField showAll="0">
      <items count="3">
        <item x="1"/>
        <item x="0"/>
        <item t="default"/>
      </items>
    </pivotField>
    <pivotField axis="axisRow" showAll="0">
      <items count="5">
        <item x="3"/>
        <item x="2"/>
        <item x="1"/>
        <item x="0"/>
        <item t="default"/>
      </items>
    </pivotField>
    <pivotField dataField="1" showAll="0"/>
    <pivotField showAll="0"/>
    <pivotField showAll="0"/>
    <pivotField showAll="0"/>
  </pivotFields>
  <rowFields count="1">
    <field x="5"/>
  </rowFields>
  <rowItems count="4">
    <i>
      <x/>
    </i>
    <i>
      <x v="1"/>
    </i>
    <i>
      <x v="2"/>
    </i>
    <i>
      <x v="3"/>
    </i>
  </rowItems>
  <colItems count="1">
    <i/>
  </colItems>
  <dataFields count="1">
    <dataField name="Average of charges" fld="6" subtotal="average" baseField="5" baseItem="0" numFmtId="164"/>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EC9B7CA-6498-4DC7-B52C-0078390A4B3D}" name="PivotTable5" cacheId="3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rowHeaderCaption="BMI Category">
  <location ref="A12:B16" firstHeaderRow="1" firstDataRow="1" firstDataCol="1"/>
  <pivotFields count="10">
    <pivotField showAll="0"/>
    <pivotField showAll="0">
      <items count="3">
        <item x="0"/>
        <item x="1"/>
        <item t="default"/>
      </items>
    </pivotField>
    <pivotField showAll="0"/>
    <pivotField showAll="0"/>
    <pivotField showAll="0">
      <items count="3">
        <item x="1"/>
        <item x="0"/>
        <item t="default"/>
      </items>
    </pivotField>
    <pivotField showAll="0">
      <items count="5">
        <item x="3"/>
        <item x="2"/>
        <item x="1"/>
        <item x="0"/>
        <item t="default"/>
      </items>
    </pivotField>
    <pivotField dataField="1" showAll="0"/>
    <pivotField showAll="0"/>
    <pivotField axis="axisRow" showAll="0">
      <items count="5">
        <item x="3"/>
        <item x="2"/>
        <item x="0"/>
        <item x="1"/>
        <item t="default"/>
      </items>
    </pivotField>
    <pivotField showAll="0"/>
  </pivotFields>
  <rowFields count="1">
    <field x="8"/>
  </rowFields>
  <rowItems count="4">
    <i>
      <x/>
    </i>
    <i>
      <x v="1"/>
    </i>
    <i>
      <x v="2"/>
    </i>
    <i>
      <x v="3"/>
    </i>
  </rowItems>
  <colItems count="1">
    <i/>
  </colItems>
  <dataFields count="1">
    <dataField name="Average of charges" fld="6" subtotal="average" baseField="8" baseItem="0" numFmtId="164"/>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7C81D0-22D2-47BA-B008-8BA823EDDE09}" name="PivotTable4" cacheId="3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 rowHeaderCaption="Age Group">
  <location ref="A5:B10" firstHeaderRow="1" firstDataRow="1" firstDataCol="1"/>
  <pivotFields count="10">
    <pivotField showAll="0"/>
    <pivotField showAll="0">
      <items count="3">
        <item x="0"/>
        <item x="1"/>
        <item t="default"/>
      </items>
    </pivotField>
    <pivotField showAll="0"/>
    <pivotField showAll="0"/>
    <pivotField showAll="0">
      <items count="3">
        <item x="1"/>
        <item x="0"/>
        <item t="default"/>
      </items>
    </pivotField>
    <pivotField showAll="0">
      <items count="5">
        <item x="3"/>
        <item x="2"/>
        <item x="1"/>
        <item x="0"/>
        <item t="default"/>
      </items>
    </pivotField>
    <pivotField dataField="1" showAll="0"/>
    <pivotField axis="axisRow" showAll="0">
      <items count="6">
        <item x="0"/>
        <item x="1"/>
        <item x="2"/>
        <item x="4"/>
        <item x="3"/>
        <item t="default"/>
      </items>
    </pivotField>
    <pivotField showAll="0"/>
    <pivotField showAll="0"/>
  </pivotFields>
  <rowFields count="1">
    <field x="7"/>
  </rowFields>
  <rowItems count="5">
    <i>
      <x/>
    </i>
    <i>
      <x v="1"/>
    </i>
    <i>
      <x v="2"/>
    </i>
    <i>
      <x v="3"/>
    </i>
    <i>
      <x v="4"/>
    </i>
  </rowItems>
  <colItems count="1">
    <i/>
  </colItems>
  <dataFields count="1">
    <dataField name="Average of charges" fld="6" subtotal="average" baseField="7" baseItem="0" numFmtId="164"/>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moker" xr10:uid="{4016E3E5-C6F5-47E8-86EA-C9DFEE97007F}" sourceName="smoker">
  <pivotTables>
    <pivotTable tabId="4" name="PivotTable14"/>
    <pivotTable tabId="4" name="PivotTable4"/>
    <pivotTable tabId="4" name="PivotTable5"/>
    <pivotTable tabId="4" name="PivotTable6"/>
    <pivotTable tabId="4" name="PivotTable7"/>
  </pivotTables>
  <data>
    <tabular pivotCacheId="587418481">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x" xr10:uid="{87CA82AC-F6B5-4430-958D-8A4AF4104CD2}" sourceName="sex">
  <pivotTables>
    <pivotTable tabId="4" name="PivotTable14"/>
    <pivotTable tabId="4" name="PivotTable4"/>
    <pivotTable tabId="4" name="PivotTable5"/>
    <pivotTable tabId="4" name="PivotTable6"/>
    <pivotTable tabId="4" name="PivotTable7"/>
  </pivotTables>
  <data>
    <tabular pivotCacheId="587418481">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9E56D48-4BAB-4427-8E82-7C83CD716157}" sourceName="region">
  <pivotTables>
    <pivotTable tabId="4" name="PivotTable14"/>
    <pivotTable tabId="4" name="PivotTable4"/>
    <pivotTable tabId="4" name="PivotTable5"/>
    <pivotTable tabId="4" name="PivotTable6"/>
    <pivotTable tabId="4" name="PivotTable7"/>
  </pivotTables>
  <data>
    <tabular pivotCacheId="587418481">
      <items count="4">
        <i x="3" s="1"/>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moker" xr10:uid="{73B4B7BF-FD19-4F48-8526-1621285A84D2}" cache="Slicer_smoker" caption="smoker" rowHeight="257175"/>
  <slicer name="sex" xr10:uid="{737AEFBB-0C41-4432-970E-71405067E5A2}" cache="Slicer_sex" caption="sex" rowHeight="257175"/>
  <slicer name="region" xr10:uid="{75A95419-8144-4453-8023-100AA6A71977}" cache="Slicer_region" caption="region"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86C2A4-B5D2-4377-813C-373434BB09E6}" name="tblInsurance" displayName="tblInsurance" ref="A1:G1339" totalsRowShown="0">
  <autoFilter ref="A1:G1339" xr:uid="{C286C2A4-B5D2-4377-813C-373434BB09E6}"/>
  <tableColumns count="7">
    <tableColumn id="1" xr3:uid="{7A07C01D-C48E-4764-A6D9-50188F0D7DEA}" name="age"/>
    <tableColumn id="2" xr3:uid="{8955A2D8-C3D9-4105-BE4C-25397870C6BE}" name="sex"/>
    <tableColumn id="3" xr3:uid="{A40EFA0A-53AD-49DC-AA36-A30FAC715474}" name="bmi"/>
    <tableColumn id="4" xr3:uid="{46AB47A2-E416-4BD5-96DB-0367E1ED5DE8}" name="children"/>
    <tableColumn id="5" xr3:uid="{FDE8E1BB-167C-45B3-B696-53AC257E8EDF}" name="smoker"/>
    <tableColumn id="6" xr3:uid="{4BF9BF66-95EA-4FCD-86EC-BCFE02629106}" name="region"/>
    <tableColumn id="7" xr3:uid="{1EA03A97-F2BF-47FB-8383-35A92D70BA23}" name="charg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E0BAD4E-06D7-4E40-A8BD-A9B42F217966}" name="tblInsurance3" displayName="tblInsurance3" ref="A1:J1339" totalsRowShown="0">
  <autoFilter ref="A1:J1339" xr:uid="{C286C2A4-B5D2-4377-813C-373434BB09E6}"/>
  <tableColumns count="10">
    <tableColumn id="1" xr3:uid="{A5A10213-7FD1-43DD-B6E9-0A45C1198D7D}" name="age"/>
    <tableColumn id="2" xr3:uid="{FCC53D1C-8F8C-4B4A-BAF1-179D16A7B281}" name="sex"/>
    <tableColumn id="3" xr3:uid="{A901FA73-CB10-4295-B21B-DDC021E6F43D}" name="bmi"/>
    <tableColumn id="4" xr3:uid="{BA97FE77-A326-4330-AEE9-6785CDF9F8D9}" name="children"/>
    <tableColumn id="5" xr3:uid="{0E5C9A44-213E-4A6F-9925-727773416EBD}" name="smoker"/>
    <tableColumn id="6" xr3:uid="{E78D22E2-E82D-4694-9193-9752B7C8A5A6}" name="region"/>
    <tableColumn id="7" xr3:uid="{6FD3C725-8866-4342-940C-858E6FDB2867}" name="charges"/>
    <tableColumn id="8" xr3:uid="{EEAC42B0-8CA9-4928-ABE2-DE1E3FE483B6}" name="Age Group" dataDxfId="3">
      <calculatedColumnFormula>IF(A2&lt;30, "18-29", IF(A2&lt;40, "30-39", IF(A2&lt;50, "40-49", IF(A2&lt;60, "50-59", "60+"))))</calculatedColumnFormula>
    </tableColumn>
    <tableColumn id="9" xr3:uid="{A139A7C5-1B92-4C8E-A153-5C4B61FCD32E}" name="BMI Category" dataDxfId="2">
      <calculatedColumnFormula>IF(C2&lt;18.5, "Underweight", IF(C2&lt;25, "Normal", IF(C2&lt;30,"Overweight","Obese")))</calculatedColumnFormula>
    </tableColumn>
    <tableColumn id="10" xr3:uid="{E240FDD3-41E3-4759-A66C-E19F4BB82828}" name="High Cost Indicator" dataDxfId="1">
      <calculatedColumnFormula>IF(G2&gt;20000,"Yes","No")</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8BFDB85-7089-418B-9348-5D50BD2B65B6}" name="Table4" displayName="Table4" ref="A1:B5" totalsRowShown="0">
  <autoFilter ref="A1:B5" xr:uid="{08BFDB85-7089-418B-9348-5D50BD2B65B6}"/>
  <tableColumns count="2">
    <tableColumn id="1" xr3:uid="{A60A84F1-28EA-4A2F-9BF8-A0BB0903D8C6}" name="Segment"/>
    <tableColumn id="2" xr3:uid="{ACD6190E-3750-4508-92E1-51C1217B52D9}" name="Average Charge" dataDxfId="0">
      <calculatedColumnFormula>AVERAGEIFS(tblInsurance3[charges],tblInsurance3[BMI Category], "Obese", tblInsurance3[smoker],"no")</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F494D7B-055B-470C-97A6-347E3CC0964C}" name="Table5" displayName="Table5" ref="H26:I30" totalsRowShown="0">
  <autoFilter ref="H26:I30" xr:uid="{1F494D7B-055B-470C-97A6-347E3CC0964C}"/>
  <tableColumns count="2">
    <tableColumn id="1" xr3:uid="{035DE479-1BEF-4E55-B6E3-35D997C97888}" name="Region"/>
    <tableColumn id="2" xr3:uid="{BFC92CF6-3506-4EC6-AA36-A698B4FDB564}" name="Average Charg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4.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B87B7E-336D-401A-B170-F1F15908070A}">
  <dimension ref="A1:G1339"/>
  <sheetViews>
    <sheetView workbookViewId="0">
      <selection activeCell="A2" sqref="A2"/>
    </sheetView>
  </sheetViews>
  <sheetFormatPr defaultRowHeight="15" x14ac:dyDescent="0.25"/>
  <cols>
    <col min="4" max="4" width="10.5703125" customWidth="1"/>
    <col min="5" max="5" width="9.85546875" customWidth="1"/>
    <col min="7" max="7" width="10.140625" customWidth="1"/>
  </cols>
  <sheetData>
    <row r="1" spans="1:7" x14ac:dyDescent="0.25">
      <c r="A1" t="s">
        <v>0</v>
      </c>
      <c r="B1" t="s">
        <v>1</v>
      </c>
      <c r="C1" t="s">
        <v>2</v>
      </c>
      <c r="D1" t="s">
        <v>3</v>
      </c>
      <c r="E1" t="s">
        <v>4</v>
      </c>
      <c r="F1" t="s">
        <v>5</v>
      </c>
      <c r="G1" t="s">
        <v>6</v>
      </c>
    </row>
    <row r="2" spans="1:7" x14ac:dyDescent="0.25">
      <c r="A2">
        <v>19</v>
      </c>
      <c r="B2" t="s">
        <v>7</v>
      </c>
      <c r="C2">
        <v>27.9</v>
      </c>
      <c r="D2">
        <v>0</v>
      </c>
      <c r="E2" t="s">
        <v>8</v>
      </c>
      <c r="F2" t="s">
        <v>9</v>
      </c>
      <c r="G2">
        <v>16884.923999999999</v>
      </c>
    </row>
    <row r="3" spans="1:7" x14ac:dyDescent="0.25">
      <c r="A3">
        <v>18</v>
      </c>
      <c r="B3" t="s">
        <v>10</v>
      </c>
      <c r="C3">
        <v>33.770000000000003</v>
      </c>
      <c r="D3">
        <v>1</v>
      </c>
      <c r="E3" t="s">
        <v>11</v>
      </c>
      <c r="F3" t="s">
        <v>12</v>
      </c>
      <c r="G3">
        <v>1725.5523000000001</v>
      </c>
    </row>
    <row r="4" spans="1:7" x14ac:dyDescent="0.25">
      <c r="A4">
        <v>28</v>
      </c>
      <c r="B4" t="s">
        <v>10</v>
      </c>
      <c r="C4">
        <v>33</v>
      </c>
      <c r="D4">
        <v>3</v>
      </c>
      <c r="E4" t="s">
        <v>11</v>
      </c>
      <c r="F4" t="s">
        <v>12</v>
      </c>
      <c r="G4">
        <v>4449.4620000000004</v>
      </c>
    </row>
    <row r="5" spans="1:7" x14ac:dyDescent="0.25">
      <c r="A5">
        <v>33</v>
      </c>
      <c r="B5" t="s">
        <v>10</v>
      </c>
      <c r="C5">
        <v>22.704999999999998</v>
      </c>
      <c r="D5">
        <v>0</v>
      </c>
      <c r="E5" t="s">
        <v>11</v>
      </c>
      <c r="F5" t="s">
        <v>13</v>
      </c>
      <c r="G5">
        <v>21984.47061</v>
      </c>
    </row>
    <row r="6" spans="1:7" x14ac:dyDescent="0.25">
      <c r="A6">
        <v>32</v>
      </c>
      <c r="B6" t="s">
        <v>10</v>
      </c>
      <c r="C6">
        <v>28.88</v>
      </c>
      <c r="D6">
        <v>0</v>
      </c>
      <c r="E6" t="s">
        <v>11</v>
      </c>
      <c r="F6" t="s">
        <v>13</v>
      </c>
      <c r="G6">
        <v>3866.8552</v>
      </c>
    </row>
    <row r="7" spans="1:7" x14ac:dyDescent="0.25">
      <c r="A7">
        <v>31</v>
      </c>
      <c r="B7" t="s">
        <v>7</v>
      </c>
      <c r="C7">
        <v>25.74</v>
      </c>
      <c r="D7">
        <v>0</v>
      </c>
      <c r="E7" t="s">
        <v>11</v>
      </c>
      <c r="F7" t="s">
        <v>12</v>
      </c>
      <c r="G7">
        <v>3756.6215999999999</v>
      </c>
    </row>
    <row r="8" spans="1:7" x14ac:dyDescent="0.25">
      <c r="A8">
        <v>46</v>
      </c>
      <c r="B8" t="s">
        <v>7</v>
      </c>
      <c r="C8">
        <v>33.44</v>
      </c>
      <c r="D8">
        <v>1</v>
      </c>
      <c r="E8" t="s">
        <v>11</v>
      </c>
      <c r="F8" t="s">
        <v>12</v>
      </c>
      <c r="G8">
        <v>8240.5895999999993</v>
      </c>
    </row>
    <row r="9" spans="1:7" x14ac:dyDescent="0.25">
      <c r="A9">
        <v>37</v>
      </c>
      <c r="B9" t="s">
        <v>7</v>
      </c>
      <c r="C9">
        <v>27.74</v>
      </c>
      <c r="D9">
        <v>3</v>
      </c>
      <c r="E9" t="s">
        <v>11</v>
      </c>
      <c r="F9" t="s">
        <v>13</v>
      </c>
      <c r="G9">
        <v>7281.5056000000004</v>
      </c>
    </row>
    <row r="10" spans="1:7" x14ac:dyDescent="0.25">
      <c r="A10">
        <v>37</v>
      </c>
      <c r="B10" t="s">
        <v>10</v>
      </c>
      <c r="C10">
        <v>29.83</v>
      </c>
      <c r="D10">
        <v>2</v>
      </c>
      <c r="E10" t="s">
        <v>11</v>
      </c>
      <c r="F10" t="s">
        <v>14</v>
      </c>
      <c r="G10">
        <v>6406.4107000000004</v>
      </c>
    </row>
    <row r="11" spans="1:7" x14ac:dyDescent="0.25">
      <c r="A11">
        <v>60</v>
      </c>
      <c r="B11" t="s">
        <v>7</v>
      </c>
      <c r="C11">
        <v>25.84</v>
      </c>
      <c r="D11">
        <v>0</v>
      </c>
      <c r="E11" t="s">
        <v>11</v>
      </c>
      <c r="F11" t="s">
        <v>13</v>
      </c>
      <c r="G11">
        <v>28923.136920000001</v>
      </c>
    </row>
    <row r="12" spans="1:7" x14ac:dyDescent="0.25">
      <c r="A12">
        <v>25</v>
      </c>
      <c r="B12" t="s">
        <v>10</v>
      </c>
      <c r="C12">
        <v>26.22</v>
      </c>
      <c r="D12">
        <v>0</v>
      </c>
      <c r="E12" t="s">
        <v>11</v>
      </c>
      <c r="F12" t="s">
        <v>14</v>
      </c>
      <c r="G12">
        <v>2721.3208</v>
      </c>
    </row>
    <row r="13" spans="1:7" x14ac:dyDescent="0.25">
      <c r="A13">
        <v>62</v>
      </c>
      <c r="B13" t="s">
        <v>7</v>
      </c>
      <c r="C13">
        <v>26.29</v>
      </c>
      <c r="D13">
        <v>0</v>
      </c>
      <c r="E13" t="s">
        <v>8</v>
      </c>
      <c r="F13" t="s">
        <v>12</v>
      </c>
      <c r="G13">
        <v>27808.7251</v>
      </c>
    </row>
    <row r="14" spans="1:7" x14ac:dyDescent="0.25">
      <c r="A14">
        <v>23</v>
      </c>
      <c r="B14" t="s">
        <v>10</v>
      </c>
      <c r="C14">
        <v>34.4</v>
      </c>
      <c r="D14">
        <v>0</v>
      </c>
      <c r="E14" t="s">
        <v>11</v>
      </c>
      <c r="F14" t="s">
        <v>9</v>
      </c>
      <c r="G14">
        <v>1826.8430000000001</v>
      </c>
    </row>
    <row r="15" spans="1:7" x14ac:dyDescent="0.25">
      <c r="A15">
        <v>56</v>
      </c>
      <c r="B15" t="s">
        <v>7</v>
      </c>
      <c r="C15">
        <v>39.82</v>
      </c>
      <c r="D15">
        <v>0</v>
      </c>
      <c r="E15" t="s">
        <v>11</v>
      </c>
      <c r="F15" t="s">
        <v>12</v>
      </c>
      <c r="G15">
        <v>11090.7178</v>
      </c>
    </row>
    <row r="16" spans="1:7" x14ac:dyDescent="0.25">
      <c r="A16">
        <v>27</v>
      </c>
      <c r="B16" t="s">
        <v>10</v>
      </c>
      <c r="C16">
        <v>42.13</v>
      </c>
      <c r="D16">
        <v>0</v>
      </c>
      <c r="E16" t="s">
        <v>8</v>
      </c>
      <c r="F16" t="s">
        <v>12</v>
      </c>
      <c r="G16">
        <v>39611.757700000002</v>
      </c>
    </row>
    <row r="17" spans="1:7" x14ac:dyDescent="0.25">
      <c r="A17">
        <v>19</v>
      </c>
      <c r="B17" t="s">
        <v>10</v>
      </c>
      <c r="C17">
        <v>24.6</v>
      </c>
      <c r="D17">
        <v>1</v>
      </c>
      <c r="E17" t="s">
        <v>11</v>
      </c>
      <c r="F17" t="s">
        <v>9</v>
      </c>
      <c r="G17">
        <v>1837.2370000000001</v>
      </c>
    </row>
    <row r="18" spans="1:7" x14ac:dyDescent="0.25">
      <c r="A18">
        <v>52</v>
      </c>
      <c r="B18" t="s">
        <v>7</v>
      </c>
      <c r="C18">
        <v>30.78</v>
      </c>
      <c r="D18">
        <v>1</v>
      </c>
      <c r="E18" t="s">
        <v>11</v>
      </c>
      <c r="F18" t="s">
        <v>14</v>
      </c>
      <c r="G18">
        <v>10797.3362</v>
      </c>
    </row>
    <row r="19" spans="1:7" x14ac:dyDescent="0.25">
      <c r="A19">
        <v>23</v>
      </c>
      <c r="B19" t="s">
        <v>10</v>
      </c>
      <c r="C19">
        <v>23.844999999999999</v>
      </c>
      <c r="D19">
        <v>0</v>
      </c>
      <c r="E19" t="s">
        <v>11</v>
      </c>
      <c r="F19" t="s">
        <v>14</v>
      </c>
      <c r="G19">
        <v>2395.17155</v>
      </c>
    </row>
    <row r="20" spans="1:7" x14ac:dyDescent="0.25">
      <c r="A20">
        <v>56</v>
      </c>
      <c r="B20" t="s">
        <v>10</v>
      </c>
      <c r="C20">
        <v>40.299999999999997</v>
      </c>
      <c r="D20">
        <v>0</v>
      </c>
      <c r="E20" t="s">
        <v>11</v>
      </c>
      <c r="F20" t="s">
        <v>9</v>
      </c>
      <c r="G20">
        <v>10602.385</v>
      </c>
    </row>
    <row r="21" spans="1:7" x14ac:dyDescent="0.25">
      <c r="A21">
        <v>30</v>
      </c>
      <c r="B21" t="s">
        <v>10</v>
      </c>
      <c r="C21">
        <v>35.299999999999997</v>
      </c>
      <c r="D21">
        <v>0</v>
      </c>
      <c r="E21" t="s">
        <v>8</v>
      </c>
      <c r="F21" t="s">
        <v>9</v>
      </c>
      <c r="G21">
        <v>36837.466999999997</v>
      </c>
    </row>
    <row r="22" spans="1:7" x14ac:dyDescent="0.25">
      <c r="A22">
        <v>60</v>
      </c>
      <c r="B22" t="s">
        <v>7</v>
      </c>
      <c r="C22">
        <v>36.005000000000003</v>
      </c>
      <c r="D22">
        <v>0</v>
      </c>
      <c r="E22" t="s">
        <v>11</v>
      </c>
      <c r="F22" t="s">
        <v>14</v>
      </c>
      <c r="G22">
        <v>13228.846949999999</v>
      </c>
    </row>
    <row r="23" spans="1:7" x14ac:dyDescent="0.25">
      <c r="A23">
        <v>30</v>
      </c>
      <c r="B23" t="s">
        <v>7</v>
      </c>
      <c r="C23">
        <v>32.4</v>
      </c>
      <c r="D23">
        <v>1</v>
      </c>
      <c r="E23" t="s">
        <v>11</v>
      </c>
      <c r="F23" t="s">
        <v>9</v>
      </c>
      <c r="G23">
        <v>4149.7359999999999</v>
      </c>
    </row>
    <row r="24" spans="1:7" x14ac:dyDescent="0.25">
      <c r="A24">
        <v>18</v>
      </c>
      <c r="B24" t="s">
        <v>10</v>
      </c>
      <c r="C24">
        <v>34.1</v>
      </c>
      <c r="D24">
        <v>0</v>
      </c>
      <c r="E24" t="s">
        <v>11</v>
      </c>
      <c r="F24" t="s">
        <v>12</v>
      </c>
      <c r="G24">
        <v>1137.011</v>
      </c>
    </row>
    <row r="25" spans="1:7" x14ac:dyDescent="0.25">
      <c r="A25">
        <v>34</v>
      </c>
      <c r="B25" t="s">
        <v>7</v>
      </c>
      <c r="C25">
        <v>31.92</v>
      </c>
      <c r="D25">
        <v>1</v>
      </c>
      <c r="E25" t="s">
        <v>8</v>
      </c>
      <c r="F25" t="s">
        <v>14</v>
      </c>
      <c r="G25">
        <v>37701.876799999998</v>
      </c>
    </row>
    <row r="26" spans="1:7" x14ac:dyDescent="0.25">
      <c r="A26">
        <v>37</v>
      </c>
      <c r="B26" t="s">
        <v>10</v>
      </c>
      <c r="C26">
        <v>28.024999999999999</v>
      </c>
      <c r="D26">
        <v>2</v>
      </c>
      <c r="E26" t="s">
        <v>11</v>
      </c>
      <c r="F26" t="s">
        <v>13</v>
      </c>
      <c r="G26">
        <v>6203.90175</v>
      </c>
    </row>
    <row r="27" spans="1:7" x14ac:dyDescent="0.25">
      <c r="A27">
        <v>59</v>
      </c>
      <c r="B27" t="s">
        <v>7</v>
      </c>
      <c r="C27">
        <v>27.72</v>
      </c>
      <c r="D27">
        <v>3</v>
      </c>
      <c r="E27" t="s">
        <v>11</v>
      </c>
      <c r="F27" t="s">
        <v>12</v>
      </c>
      <c r="G27">
        <v>14001.1338</v>
      </c>
    </row>
    <row r="28" spans="1:7" x14ac:dyDescent="0.25">
      <c r="A28">
        <v>63</v>
      </c>
      <c r="B28" t="s">
        <v>7</v>
      </c>
      <c r="C28">
        <v>23.085000000000001</v>
      </c>
      <c r="D28">
        <v>0</v>
      </c>
      <c r="E28" t="s">
        <v>11</v>
      </c>
      <c r="F28" t="s">
        <v>14</v>
      </c>
      <c r="G28">
        <v>14451.835150000001</v>
      </c>
    </row>
    <row r="29" spans="1:7" x14ac:dyDescent="0.25">
      <c r="A29">
        <v>55</v>
      </c>
      <c r="B29" t="s">
        <v>7</v>
      </c>
      <c r="C29">
        <v>32.774999999999999</v>
      </c>
      <c r="D29">
        <v>2</v>
      </c>
      <c r="E29" t="s">
        <v>11</v>
      </c>
      <c r="F29" t="s">
        <v>13</v>
      </c>
      <c r="G29">
        <v>12268.632250000001</v>
      </c>
    </row>
    <row r="30" spans="1:7" x14ac:dyDescent="0.25">
      <c r="A30">
        <v>23</v>
      </c>
      <c r="B30" t="s">
        <v>10</v>
      </c>
      <c r="C30">
        <v>17.385000000000002</v>
      </c>
      <c r="D30">
        <v>1</v>
      </c>
      <c r="E30" t="s">
        <v>11</v>
      </c>
      <c r="F30" t="s">
        <v>13</v>
      </c>
      <c r="G30">
        <v>2775.1921499999999</v>
      </c>
    </row>
    <row r="31" spans="1:7" x14ac:dyDescent="0.25">
      <c r="A31">
        <v>31</v>
      </c>
      <c r="B31" t="s">
        <v>10</v>
      </c>
      <c r="C31">
        <v>36.299999999999997</v>
      </c>
      <c r="D31">
        <v>2</v>
      </c>
      <c r="E31" t="s">
        <v>8</v>
      </c>
      <c r="F31" t="s">
        <v>9</v>
      </c>
      <c r="G31">
        <v>38711</v>
      </c>
    </row>
    <row r="32" spans="1:7" x14ac:dyDescent="0.25">
      <c r="A32">
        <v>22</v>
      </c>
      <c r="B32" t="s">
        <v>10</v>
      </c>
      <c r="C32">
        <v>35.6</v>
      </c>
      <c r="D32">
        <v>0</v>
      </c>
      <c r="E32" t="s">
        <v>8</v>
      </c>
      <c r="F32" t="s">
        <v>9</v>
      </c>
      <c r="G32">
        <v>35585.576000000001</v>
      </c>
    </row>
    <row r="33" spans="1:7" x14ac:dyDescent="0.25">
      <c r="A33">
        <v>18</v>
      </c>
      <c r="B33" t="s">
        <v>7</v>
      </c>
      <c r="C33">
        <v>26.315000000000001</v>
      </c>
      <c r="D33">
        <v>0</v>
      </c>
      <c r="E33" t="s">
        <v>11</v>
      </c>
      <c r="F33" t="s">
        <v>14</v>
      </c>
      <c r="G33">
        <v>2198.1898500000002</v>
      </c>
    </row>
    <row r="34" spans="1:7" x14ac:dyDescent="0.25">
      <c r="A34">
        <v>19</v>
      </c>
      <c r="B34" t="s">
        <v>7</v>
      </c>
      <c r="C34">
        <v>28.6</v>
      </c>
      <c r="D34">
        <v>5</v>
      </c>
      <c r="E34" t="s">
        <v>11</v>
      </c>
      <c r="F34" t="s">
        <v>9</v>
      </c>
      <c r="G34">
        <v>4687.7969999999996</v>
      </c>
    </row>
    <row r="35" spans="1:7" x14ac:dyDescent="0.25">
      <c r="A35">
        <v>63</v>
      </c>
      <c r="B35" t="s">
        <v>10</v>
      </c>
      <c r="C35">
        <v>28.31</v>
      </c>
      <c r="D35">
        <v>0</v>
      </c>
      <c r="E35" t="s">
        <v>11</v>
      </c>
      <c r="F35" t="s">
        <v>13</v>
      </c>
      <c r="G35">
        <v>13770.097900000001</v>
      </c>
    </row>
    <row r="36" spans="1:7" x14ac:dyDescent="0.25">
      <c r="A36">
        <v>28</v>
      </c>
      <c r="B36" t="s">
        <v>10</v>
      </c>
      <c r="C36">
        <v>36.4</v>
      </c>
      <c r="D36">
        <v>1</v>
      </c>
      <c r="E36" t="s">
        <v>8</v>
      </c>
      <c r="F36" t="s">
        <v>9</v>
      </c>
      <c r="G36">
        <v>51194.559139999998</v>
      </c>
    </row>
    <row r="37" spans="1:7" x14ac:dyDescent="0.25">
      <c r="A37">
        <v>19</v>
      </c>
      <c r="B37" t="s">
        <v>10</v>
      </c>
      <c r="C37">
        <v>20.425000000000001</v>
      </c>
      <c r="D37">
        <v>0</v>
      </c>
      <c r="E37" t="s">
        <v>11</v>
      </c>
      <c r="F37" t="s">
        <v>13</v>
      </c>
      <c r="G37">
        <v>1625.4337499999999</v>
      </c>
    </row>
    <row r="38" spans="1:7" x14ac:dyDescent="0.25">
      <c r="A38">
        <v>62</v>
      </c>
      <c r="B38" t="s">
        <v>7</v>
      </c>
      <c r="C38">
        <v>32.965000000000003</v>
      </c>
      <c r="D38">
        <v>3</v>
      </c>
      <c r="E38" t="s">
        <v>11</v>
      </c>
      <c r="F38" t="s">
        <v>13</v>
      </c>
      <c r="G38">
        <v>15612.19335</v>
      </c>
    </row>
    <row r="39" spans="1:7" x14ac:dyDescent="0.25">
      <c r="A39">
        <v>26</v>
      </c>
      <c r="B39" t="s">
        <v>10</v>
      </c>
      <c r="C39">
        <v>20.8</v>
      </c>
      <c r="D39">
        <v>0</v>
      </c>
      <c r="E39" t="s">
        <v>11</v>
      </c>
      <c r="F39" t="s">
        <v>9</v>
      </c>
      <c r="G39">
        <v>2302.3000000000002</v>
      </c>
    </row>
    <row r="40" spans="1:7" x14ac:dyDescent="0.25">
      <c r="A40">
        <v>35</v>
      </c>
      <c r="B40" t="s">
        <v>10</v>
      </c>
      <c r="C40">
        <v>36.67</v>
      </c>
      <c r="D40">
        <v>1</v>
      </c>
      <c r="E40" t="s">
        <v>8</v>
      </c>
      <c r="F40" t="s">
        <v>14</v>
      </c>
      <c r="G40">
        <v>39774.276299999998</v>
      </c>
    </row>
    <row r="41" spans="1:7" x14ac:dyDescent="0.25">
      <c r="A41">
        <v>60</v>
      </c>
      <c r="B41" t="s">
        <v>10</v>
      </c>
      <c r="C41">
        <v>39.9</v>
      </c>
      <c r="D41">
        <v>0</v>
      </c>
      <c r="E41" t="s">
        <v>8</v>
      </c>
      <c r="F41" t="s">
        <v>9</v>
      </c>
      <c r="G41">
        <v>48173.360999999997</v>
      </c>
    </row>
    <row r="42" spans="1:7" x14ac:dyDescent="0.25">
      <c r="A42">
        <v>24</v>
      </c>
      <c r="B42" t="s">
        <v>7</v>
      </c>
      <c r="C42">
        <v>26.6</v>
      </c>
      <c r="D42">
        <v>0</v>
      </c>
      <c r="E42" t="s">
        <v>11</v>
      </c>
      <c r="F42" t="s">
        <v>14</v>
      </c>
      <c r="G42">
        <v>3046.0619999999999</v>
      </c>
    </row>
    <row r="43" spans="1:7" x14ac:dyDescent="0.25">
      <c r="A43">
        <v>31</v>
      </c>
      <c r="B43" t="s">
        <v>7</v>
      </c>
      <c r="C43">
        <v>36.630000000000003</v>
      </c>
      <c r="D43">
        <v>2</v>
      </c>
      <c r="E43" t="s">
        <v>11</v>
      </c>
      <c r="F43" t="s">
        <v>12</v>
      </c>
      <c r="G43">
        <v>4949.7587000000003</v>
      </c>
    </row>
    <row r="44" spans="1:7" x14ac:dyDescent="0.25">
      <c r="A44">
        <v>41</v>
      </c>
      <c r="B44" t="s">
        <v>10</v>
      </c>
      <c r="C44">
        <v>21.78</v>
      </c>
      <c r="D44">
        <v>1</v>
      </c>
      <c r="E44" t="s">
        <v>11</v>
      </c>
      <c r="F44" t="s">
        <v>12</v>
      </c>
      <c r="G44">
        <v>6272.4772000000003</v>
      </c>
    </row>
    <row r="45" spans="1:7" x14ac:dyDescent="0.25">
      <c r="A45">
        <v>37</v>
      </c>
      <c r="B45" t="s">
        <v>7</v>
      </c>
      <c r="C45">
        <v>30.8</v>
      </c>
      <c r="D45">
        <v>2</v>
      </c>
      <c r="E45" t="s">
        <v>11</v>
      </c>
      <c r="F45" t="s">
        <v>12</v>
      </c>
      <c r="G45">
        <v>6313.759</v>
      </c>
    </row>
    <row r="46" spans="1:7" x14ac:dyDescent="0.25">
      <c r="A46">
        <v>38</v>
      </c>
      <c r="B46" t="s">
        <v>10</v>
      </c>
      <c r="C46">
        <v>37.049999999999997</v>
      </c>
      <c r="D46">
        <v>1</v>
      </c>
      <c r="E46" t="s">
        <v>11</v>
      </c>
      <c r="F46" t="s">
        <v>14</v>
      </c>
      <c r="G46">
        <v>6079.6715000000004</v>
      </c>
    </row>
    <row r="47" spans="1:7" x14ac:dyDescent="0.25">
      <c r="A47">
        <v>55</v>
      </c>
      <c r="B47" t="s">
        <v>10</v>
      </c>
      <c r="C47">
        <v>37.299999999999997</v>
      </c>
      <c r="D47">
        <v>0</v>
      </c>
      <c r="E47" t="s">
        <v>11</v>
      </c>
      <c r="F47" t="s">
        <v>9</v>
      </c>
      <c r="G47">
        <v>20630.283510000001</v>
      </c>
    </row>
    <row r="48" spans="1:7" x14ac:dyDescent="0.25">
      <c r="A48">
        <v>18</v>
      </c>
      <c r="B48" t="s">
        <v>7</v>
      </c>
      <c r="C48">
        <v>38.664999999999999</v>
      </c>
      <c r="D48">
        <v>2</v>
      </c>
      <c r="E48" t="s">
        <v>11</v>
      </c>
      <c r="F48" t="s">
        <v>14</v>
      </c>
      <c r="G48">
        <v>3393.35635</v>
      </c>
    </row>
    <row r="49" spans="1:7" x14ac:dyDescent="0.25">
      <c r="A49">
        <v>28</v>
      </c>
      <c r="B49" t="s">
        <v>7</v>
      </c>
      <c r="C49">
        <v>34.770000000000003</v>
      </c>
      <c r="D49">
        <v>0</v>
      </c>
      <c r="E49" t="s">
        <v>11</v>
      </c>
      <c r="F49" t="s">
        <v>13</v>
      </c>
      <c r="G49">
        <v>3556.9223000000002</v>
      </c>
    </row>
    <row r="50" spans="1:7" x14ac:dyDescent="0.25">
      <c r="A50">
        <v>60</v>
      </c>
      <c r="B50" t="s">
        <v>7</v>
      </c>
      <c r="C50">
        <v>24.53</v>
      </c>
      <c r="D50">
        <v>0</v>
      </c>
      <c r="E50" t="s">
        <v>11</v>
      </c>
      <c r="F50" t="s">
        <v>12</v>
      </c>
      <c r="G50">
        <v>12629.896699999999</v>
      </c>
    </row>
    <row r="51" spans="1:7" x14ac:dyDescent="0.25">
      <c r="A51">
        <v>36</v>
      </c>
      <c r="B51" t="s">
        <v>10</v>
      </c>
      <c r="C51">
        <v>35.200000000000003</v>
      </c>
      <c r="D51">
        <v>1</v>
      </c>
      <c r="E51" t="s">
        <v>8</v>
      </c>
      <c r="F51" t="s">
        <v>12</v>
      </c>
      <c r="G51">
        <v>38709.175999999999</v>
      </c>
    </row>
    <row r="52" spans="1:7" x14ac:dyDescent="0.25">
      <c r="A52">
        <v>18</v>
      </c>
      <c r="B52" t="s">
        <v>7</v>
      </c>
      <c r="C52">
        <v>35.625</v>
      </c>
      <c r="D52">
        <v>0</v>
      </c>
      <c r="E52" t="s">
        <v>11</v>
      </c>
      <c r="F52" t="s">
        <v>14</v>
      </c>
      <c r="G52">
        <v>2211.1307499999998</v>
      </c>
    </row>
    <row r="53" spans="1:7" x14ac:dyDescent="0.25">
      <c r="A53">
        <v>21</v>
      </c>
      <c r="B53" t="s">
        <v>7</v>
      </c>
      <c r="C53">
        <v>33.630000000000003</v>
      </c>
      <c r="D53">
        <v>2</v>
      </c>
      <c r="E53" t="s">
        <v>11</v>
      </c>
      <c r="F53" t="s">
        <v>13</v>
      </c>
      <c r="G53">
        <v>3579.8287</v>
      </c>
    </row>
    <row r="54" spans="1:7" x14ac:dyDescent="0.25">
      <c r="A54">
        <v>48</v>
      </c>
      <c r="B54" t="s">
        <v>10</v>
      </c>
      <c r="C54">
        <v>28</v>
      </c>
      <c r="D54">
        <v>1</v>
      </c>
      <c r="E54" t="s">
        <v>8</v>
      </c>
      <c r="F54" t="s">
        <v>9</v>
      </c>
      <c r="G54">
        <v>23568.272000000001</v>
      </c>
    </row>
    <row r="55" spans="1:7" x14ac:dyDescent="0.25">
      <c r="A55">
        <v>36</v>
      </c>
      <c r="B55" t="s">
        <v>10</v>
      </c>
      <c r="C55">
        <v>34.43</v>
      </c>
      <c r="D55">
        <v>0</v>
      </c>
      <c r="E55" t="s">
        <v>8</v>
      </c>
      <c r="F55" t="s">
        <v>12</v>
      </c>
      <c r="G55">
        <v>37742.575700000001</v>
      </c>
    </row>
    <row r="56" spans="1:7" x14ac:dyDescent="0.25">
      <c r="A56">
        <v>40</v>
      </c>
      <c r="B56" t="s">
        <v>7</v>
      </c>
      <c r="C56">
        <v>28.69</v>
      </c>
      <c r="D56">
        <v>3</v>
      </c>
      <c r="E56" t="s">
        <v>11</v>
      </c>
      <c r="F56" t="s">
        <v>13</v>
      </c>
      <c r="G56">
        <v>8059.6791000000003</v>
      </c>
    </row>
    <row r="57" spans="1:7" x14ac:dyDescent="0.25">
      <c r="A57">
        <v>58</v>
      </c>
      <c r="B57" t="s">
        <v>10</v>
      </c>
      <c r="C57">
        <v>36.954999999999998</v>
      </c>
      <c r="D57">
        <v>2</v>
      </c>
      <c r="E57" t="s">
        <v>8</v>
      </c>
      <c r="F57" t="s">
        <v>13</v>
      </c>
      <c r="G57">
        <v>47496.494449999998</v>
      </c>
    </row>
    <row r="58" spans="1:7" x14ac:dyDescent="0.25">
      <c r="A58">
        <v>58</v>
      </c>
      <c r="B58" t="s">
        <v>7</v>
      </c>
      <c r="C58">
        <v>31.824999999999999</v>
      </c>
      <c r="D58">
        <v>2</v>
      </c>
      <c r="E58" t="s">
        <v>11</v>
      </c>
      <c r="F58" t="s">
        <v>14</v>
      </c>
      <c r="G58">
        <v>13607.36875</v>
      </c>
    </row>
    <row r="59" spans="1:7" x14ac:dyDescent="0.25">
      <c r="A59">
        <v>18</v>
      </c>
      <c r="B59" t="s">
        <v>10</v>
      </c>
      <c r="C59">
        <v>31.68</v>
      </c>
      <c r="D59">
        <v>2</v>
      </c>
      <c r="E59" t="s">
        <v>8</v>
      </c>
      <c r="F59" t="s">
        <v>12</v>
      </c>
      <c r="G59">
        <v>34303.167200000004</v>
      </c>
    </row>
    <row r="60" spans="1:7" x14ac:dyDescent="0.25">
      <c r="A60">
        <v>53</v>
      </c>
      <c r="B60" t="s">
        <v>7</v>
      </c>
      <c r="C60">
        <v>22.88</v>
      </c>
      <c r="D60">
        <v>1</v>
      </c>
      <c r="E60" t="s">
        <v>8</v>
      </c>
      <c r="F60" t="s">
        <v>12</v>
      </c>
      <c r="G60">
        <v>23244.790199999999</v>
      </c>
    </row>
    <row r="61" spans="1:7" x14ac:dyDescent="0.25">
      <c r="A61">
        <v>34</v>
      </c>
      <c r="B61" t="s">
        <v>7</v>
      </c>
      <c r="C61">
        <v>37.335000000000001</v>
      </c>
      <c r="D61">
        <v>2</v>
      </c>
      <c r="E61" t="s">
        <v>11</v>
      </c>
      <c r="F61" t="s">
        <v>13</v>
      </c>
      <c r="G61">
        <v>5989.5236500000001</v>
      </c>
    </row>
    <row r="62" spans="1:7" x14ac:dyDescent="0.25">
      <c r="A62">
        <v>43</v>
      </c>
      <c r="B62" t="s">
        <v>10</v>
      </c>
      <c r="C62">
        <v>27.36</v>
      </c>
      <c r="D62">
        <v>3</v>
      </c>
      <c r="E62" t="s">
        <v>11</v>
      </c>
      <c r="F62" t="s">
        <v>14</v>
      </c>
      <c r="G62">
        <v>8606.2173999999995</v>
      </c>
    </row>
    <row r="63" spans="1:7" x14ac:dyDescent="0.25">
      <c r="A63">
        <v>25</v>
      </c>
      <c r="B63" t="s">
        <v>10</v>
      </c>
      <c r="C63">
        <v>33.659999999999997</v>
      </c>
      <c r="D63">
        <v>4</v>
      </c>
      <c r="E63" t="s">
        <v>11</v>
      </c>
      <c r="F63" t="s">
        <v>12</v>
      </c>
      <c r="G63">
        <v>4504.6624000000002</v>
      </c>
    </row>
    <row r="64" spans="1:7" x14ac:dyDescent="0.25">
      <c r="A64">
        <v>64</v>
      </c>
      <c r="B64" t="s">
        <v>10</v>
      </c>
      <c r="C64">
        <v>24.7</v>
      </c>
      <c r="D64">
        <v>1</v>
      </c>
      <c r="E64" t="s">
        <v>11</v>
      </c>
      <c r="F64" t="s">
        <v>13</v>
      </c>
      <c r="G64">
        <v>30166.618170000002</v>
      </c>
    </row>
    <row r="65" spans="1:7" x14ac:dyDescent="0.25">
      <c r="A65">
        <v>28</v>
      </c>
      <c r="B65" t="s">
        <v>7</v>
      </c>
      <c r="C65">
        <v>25.934999999999999</v>
      </c>
      <c r="D65">
        <v>1</v>
      </c>
      <c r="E65" t="s">
        <v>11</v>
      </c>
      <c r="F65" t="s">
        <v>13</v>
      </c>
      <c r="G65">
        <v>4133.6416499999996</v>
      </c>
    </row>
    <row r="66" spans="1:7" x14ac:dyDescent="0.25">
      <c r="A66">
        <v>20</v>
      </c>
      <c r="B66" t="s">
        <v>7</v>
      </c>
      <c r="C66">
        <v>22.42</v>
      </c>
      <c r="D66">
        <v>0</v>
      </c>
      <c r="E66" t="s">
        <v>8</v>
      </c>
      <c r="F66" t="s">
        <v>13</v>
      </c>
      <c r="G66">
        <v>14711.7438</v>
      </c>
    </row>
    <row r="67" spans="1:7" x14ac:dyDescent="0.25">
      <c r="A67">
        <v>19</v>
      </c>
      <c r="B67" t="s">
        <v>7</v>
      </c>
      <c r="C67">
        <v>28.9</v>
      </c>
      <c r="D67">
        <v>0</v>
      </c>
      <c r="E67" t="s">
        <v>11</v>
      </c>
      <c r="F67" t="s">
        <v>9</v>
      </c>
      <c r="G67">
        <v>1743.2139999999999</v>
      </c>
    </row>
    <row r="68" spans="1:7" x14ac:dyDescent="0.25">
      <c r="A68">
        <v>61</v>
      </c>
      <c r="B68" t="s">
        <v>7</v>
      </c>
      <c r="C68">
        <v>39.1</v>
      </c>
      <c r="D68">
        <v>2</v>
      </c>
      <c r="E68" t="s">
        <v>11</v>
      </c>
      <c r="F68" t="s">
        <v>9</v>
      </c>
      <c r="G68">
        <v>14235.072</v>
      </c>
    </row>
    <row r="69" spans="1:7" x14ac:dyDescent="0.25">
      <c r="A69">
        <v>40</v>
      </c>
      <c r="B69" t="s">
        <v>10</v>
      </c>
      <c r="C69">
        <v>26.315000000000001</v>
      </c>
      <c r="D69">
        <v>1</v>
      </c>
      <c r="E69" t="s">
        <v>11</v>
      </c>
      <c r="F69" t="s">
        <v>13</v>
      </c>
      <c r="G69">
        <v>6389.3778499999999</v>
      </c>
    </row>
    <row r="70" spans="1:7" x14ac:dyDescent="0.25">
      <c r="A70">
        <v>40</v>
      </c>
      <c r="B70" t="s">
        <v>7</v>
      </c>
      <c r="C70">
        <v>36.19</v>
      </c>
      <c r="D70">
        <v>0</v>
      </c>
      <c r="E70" t="s">
        <v>11</v>
      </c>
      <c r="F70" t="s">
        <v>12</v>
      </c>
      <c r="G70">
        <v>5920.1040999999996</v>
      </c>
    </row>
    <row r="71" spans="1:7" x14ac:dyDescent="0.25">
      <c r="A71">
        <v>28</v>
      </c>
      <c r="B71" t="s">
        <v>10</v>
      </c>
      <c r="C71">
        <v>23.98</v>
      </c>
      <c r="D71">
        <v>3</v>
      </c>
      <c r="E71" t="s">
        <v>8</v>
      </c>
      <c r="F71" t="s">
        <v>12</v>
      </c>
      <c r="G71">
        <v>17663.144199999999</v>
      </c>
    </row>
    <row r="72" spans="1:7" x14ac:dyDescent="0.25">
      <c r="A72">
        <v>27</v>
      </c>
      <c r="B72" t="s">
        <v>7</v>
      </c>
      <c r="C72">
        <v>24.75</v>
      </c>
      <c r="D72">
        <v>0</v>
      </c>
      <c r="E72" t="s">
        <v>8</v>
      </c>
      <c r="F72" t="s">
        <v>12</v>
      </c>
      <c r="G72">
        <v>16577.779500000001</v>
      </c>
    </row>
    <row r="73" spans="1:7" x14ac:dyDescent="0.25">
      <c r="A73">
        <v>31</v>
      </c>
      <c r="B73" t="s">
        <v>10</v>
      </c>
      <c r="C73">
        <v>28.5</v>
      </c>
      <c r="D73">
        <v>5</v>
      </c>
      <c r="E73" t="s">
        <v>11</v>
      </c>
      <c r="F73" t="s">
        <v>14</v>
      </c>
      <c r="G73">
        <v>6799.4579999999996</v>
      </c>
    </row>
    <row r="74" spans="1:7" x14ac:dyDescent="0.25">
      <c r="A74">
        <v>53</v>
      </c>
      <c r="B74" t="s">
        <v>7</v>
      </c>
      <c r="C74">
        <v>28.1</v>
      </c>
      <c r="D74">
        <v>3</v>
      </c>
      <c r="E74" t="s">
        <v>11</v>
      </c>
      <c r="F74" t="s">
        <v>9</v>
      </c>
      <c r="G74">
        <v>11741.726000000001</v>
      </c>
    </row>
    <row r="75" spans="1:7" x14ac:dyDescent="0.25">
      <c r="A75">
        <v>58</v>
      </c>
      <c r="B75" t="s">
        <v>10</v>
      </c>
      <c r="C75">
        <v>32.01</v>
      </c>
      <c r="D75">
        <v>1</v>
      </c>
      <c r="E75" t="s">
        <v>11</v>
      </c>
      <c r="F75" t="s">
        <v>12</v>
      </c>
      <c r="G75">
        <v>11946.625899999999</v>
      </c>
    </row>
    <row r="76" spans="1:7" x14ac:dyDescent="0.25">
      <c r="A76">
        <v>44</v>
      </c>
      <c r="B76" t="s">
        <v>10</v>
      </c>
      <c r="C76">
        <v>27.4</v>
      </c>
      <c r="D76">
        <v>2</v>
      </c>
      <c r="E76" t="s">
        <v>11</v>
      </c>
      <c r="F76" t="s">
        <v>9</v>
      </c>
      <c r="G76">
        <v>7726.8540000000003</v>
      </c>
    </row>
    <row r="77" spans="1:7" x14ac:dyDescent="0.25">
      <c r="A77">
        <v>57</v>
      </c>
      <c r="B77" t="s">
        <v>10</v>
      </c>
      <c r="C77">
        <v>34.01</v>
      </c>
      <c r="D77">
        <v>0</v>
      </c>
      <c r="E77" t="s">
        <v>11</v>
      </c>
      <c r="F77" t="s">
        <v>13</v>
      </c>
      <c r="G77">
        <v>11356.660900000001</v>
      </c>
    </row>
    <row r="78" spans="1:7" x14ac:dyDescent="0.25">
      <c r="A78">
        <v>29</v>
      </c>
      <c r="B78" t="s">
        <v>7</v>
      </c>
      <c r="C78">
        <v>29.59</v>
      </c>
      <c r="D78">
        <v>1</v>
      </c>
      <c r="E78" t="s">
        <v>11</v>
      </c>
      <c r="F78" t="s">
        <v>12</v>
      </c>
      <c r="G78">
        <v>3947.4131000000002</v>
      </c>
    </row>
    <row r="79" spans="1:7" x14ac:dyDescent="0.25">
      <c r="A79">
        <v>21</v>
      </c>
      <c r="B79" t="s">
        <v>10</v>
      </c>
      <c r="C79">
        <v>35.53</v>
      </c>
      <c r="D79">
        <v>0</v>
      </c>
      <c r="E79" t="s">
        <v>11</v>
      </c>
      <c r="F79" t="s">
        <v>12</v>
      </c>
      <c r="G79">
        <v>1532.4697000000001</v>
      </c>
    </row>
    <row r="80" spans="1:7" x14ac:dyDescent="0.25">
      <c r="A80">
        <v>22</v>
      </c>
      <c r="B80" t="s">
        <v>7</v>
      </c>
      <c r="C80">
        <v>39.805</v>
      </c>
      <c r="D80">
        <v>0</v>
      </c>
      <c r="E80" t="s">
        <v>11</v>
      </c>
      <c r="F80" t="s">
        <v>14</v>
      </c>
      <c r="G80">
        <v>2755.0209500000001</v>
      </c>
    </row>
    <row r="81" spans="1:7" x14ac:dyDescent="0.25">
      <c r="A81">
        <v>41</v>
      </c>
      <c r="B81" t="s">
        <v>7</v>
      </c>
      <c r="C81">
        <v>32.965000000000003</v>
      </c>
      <c r="D81">
        <v>0</v>
      </c>
      <c r="E81" t="s">
        <v>11</v>
      </c>
      <c r="F81" t="s">
        <v>13</v>
      </c>
      <c r="G81">
        <v>6571.0243499999997</v>
      </c>
    </row>
    <row r="82" spans="1:7" x14ac:dyDescent="0.25">
      <c r="A82">
        <v>31</v>
      </c>
      <c r="B82" t="s">
        <v>10</v>
      </c>
      <c r="C82">
        <v>26.885000000000002</v>
      </c>
      <c r="D82">
        <v>1</v>
      </c>
      <c r="E82" t="s">
        <v>11</v>
      </c>
      <c r="F82" t="s">
        <v>14</v>
      </c>
      <c r="G82">
        <v>4441.2131499999996</v>
      </c>
    </row>
    <row r="83" spans="1:7" x14ac:dyDescent="0.25">
      <c r="A83">
        <v>45</v>
      </c>
      <c r="B83" t="s">
        <v>7</v>
      </c>
      <c r="C83">
        <v>38.284999999999997</v>
      </c>
      <c r="D83">
        <v>0</v>
      </c>
      <c r="E83" t="s">
        <v>11</v>
      </c>
      <c r="F83" t="s">
        <v>14</v>
      </c>
      <c r="G83">
        <v>7935.29115</v>
      </c>
    </row>
    <row r="84" spans="1:7" x14ac:dyDescent="0.25">
      <c r="A84">
        <v>22</v>
      </c>
      <c r="B84" t="s">
        <v>10</v>
      </c>
      <c r="C84">
        <v>37.619999999999997</v>
      </c>
      <c r="D84">
        <v>1</v>
      </c>
      <c r="E84" t="s">
        <v>8</v>
      </c>
      <c r="F84" t="s">
        <v>12</v>
      </c>
      <c r="G84">
        <v>37165.163800000002</v>
      </c>
    </row>
    <row r="85" spans="1:7" x14ac:dyDescent="0.25">
      <c r="A85">
        <v>48</v>
      </c>
      <c r="B85" t="s">
        <v>7</v>
      </c>
      <c r="C85">
        <v>41.23</v>
      </c>
      <c r="D85">
        <v>4</v>
      </c>
      <c r="E85" t="s">
        <v>11</v>
      </c>
      <c r="F85" t="s">
        <v>13</v>
      </c>
      <c r="G85">
        <v>11033.661700000001</v>
      </c>
    </row>
    <row r="86" spans="1:7" x14ac:dyDescent="0.25">
      <c r="A86">
        <v>37</v>
      </c>
      <c r="B86" t="s">
        <v>7</v>
      </c>
      <c r="C86">
        <v>34.799999999999997</v>
      </c>
      <c r="D86">
        <v>2</v>
      </c>
      <c r="E86" t="s">
        <v>8</v>
      </c>
      <c r="F86" t="s">
        <v>9</v>
      </c>
      <c r="G86">
        <v>39836.519</v>
      </c>
    </row>
    <row r="87" spans="1:7" x14ac:dyDescent="0.25">
      <c r="A87">
        <v>45</v>
      </c>
      <c r="B87" t="s">
        <v>10</v>
      </c>
      <c r="C87">
        <v>22.895</v>
      </c>
      <c r="D87">
        <v>2</v>
      </c>
      <c r="E87" t="s">
        <v>8</v>
      </c>
      <c r="F87" t="s">
        <v>13</v>
      </c>
      <c r="G87">
        <v>21098.554049999999</v>
      </c>
    </row>
    <row r="88" spans="1:7" x14ac:dyDescent="0.25">
      <c r="A88">
        <v>57</v>
      </c>
      <c r="B88" t="s">
        <v>7</v>
      </c>
      <c r="C88">
        <v>31.16</v>
      </c>
      <c r="D88">
        <v>0</v>
      </c>
      <c r="E88" t="s">
        <v>8</v>
      </c>
      <c r="F88" t="s">
        <v>13</v>
      </c>
      <c r="G88">
        <v>43578.939400000003</v>
      </c>
    </row>
    <row r="89" spans="1:7" x14ac:dyDescent="0.25">
      <c r="A89">
        <v>56</v>
      </c>
      <c r="B89" t="s">
        <v>7</v>
      </c>
      <c r="C89">
        <v>27.2</v>
      </c>
      <c r="D89">
        <v>0</v>
      </c>
      <c r="E89" t="s">
        <v>11</v>
      </c>
      <c r="F89" t="s">
        <v>9</v>
      </c>
      <c r="G89">
        <v>11073.175999999999</v>
      </c>
    </row>
    <row r="90" spans="1:7" x14ac:dyDescent="0.25">
      <c r="A90">
        <v>46</v>
      </c>
      <c r="B90" t="s">
        <v>7</v>
      </c>
      <c r="C90">
        <v>27.74</v>
      </c>
      <c r="D90">
        <v>0</v>
      </c>
      <c r="E90" t="s">
        <v>11</v>
      </c>
      <c r="F90" t="s">
        <v>13</v>
      </c>
      <c r="G90">
        <v>8026.6665999999996</v>
      </c>
    </row>
    <row r="91" spans="1:7" x14ac:dyDescent="0.25">
      <c r="A91">
        <v>55</v>
      </c>
      <c r="B91" t="s">
        <v>7</v>
      </c>
      <c r="C91">
        <v>26.98</v>
      </c>
      <c r="D91">
        <v>0</v>
      </c>
      <c r="E91" t="s">
        <v>11</v>
      </c>
      <c r="F91" t="s">
        <v>13</v>
      </c>
      <c r="G91">
        <v>11082.5772</v>
      </c>
    </row>
    <row r="92" spans="1:7" x14ac:dyDescent="0.25">
      <c r="A92">
        <v>21</v>
      </c>
      <c r="B92" t="s">
        <v>7</v>
      </c>
      <c r="C92">
        <v>39.49</v>
      </c>
      <c r="D92">
        <v>0</v>
      </c>
      <c r="E92" t="s">
        <v>11</v>
      </c>
      <c r="F92" t="s">
        <v>12</v>
      </c>
      <c r="G92">
        <v>2026.9740999999999</v>
      </c>
    </row>
    <row r="93" spans="1:7" x14ac:dyDescent="0.25">
      <c r="A93">
        <v>53</v>
      </c>
      <c r="B93" t="s">
        <v>7</v>
      </c>
      <c r="C93">
        <v>24.795000000000002</v>
      </c>
      <c r="D93">
        <v>1</v>
      </c>
      <c r="E93" t="s">
        <v>11</v>
      </c>
      <c r="F93" t="s">
        <v>13</v>
      </c>
      <c r="G93">
        <v>10942.13205</v>
      </c>
    </row>
    <row r="94" spans="1:7" x14ac:dyDescent="0.25">
      <c r="A94">
        <v>59</v>
      </c>
      <c r="B94" t="s">
        <v>10</v>
      </c>
      <c r="C94">
        <v>29.83</v>
      </c>
      <c r="D94">
        <v>3</v>
      </c>
      <c r="E94" t="s">
        <v>8</v>
      </c>
      <c r="F94" t="s">
        <v>14</v>
      </c>
      <c r="G94">
        <v>30184.936699999998</v>
      </c>
    </row>
    <row r="95" spans="1:7" x14ac:dyDescent="0.25">
      <c r="A95">
        <v>35</v>
      </c>
      <c r="B95" t="s">
        <v>10</v>
      </c>
      <c r="C95">
        <v>34.770000000000003</v>
      </c>
      <c r="D95">
        <v>2</v>
      </c>
      <c r="E95" t="s">
        <v>11</v>
      </c>
      <c r="F95" t="s">
        <v>13</v>
      </c>
      <c r="G95">
        <v>5729.0052999999998</v>
      </c>
    </row>
    <row r="96" spans="1:7" x14ac:dyDescent="0.25">
      <c r="A96">
        <v>64</v>
      </c>
      <c r="B96" t="s">
        <v>7</v>
      </c>
      <c r="C96">
        <v>31.3</v>
      </c>
      <c r="D96">
        <v>2</v>
      </c>
      <c r="E96" t="s">
        <v>8</v>
      </c>
      <c r="F96" t="s">
        <v>9</v>
      </c>
      <c r="G96">
        <v>47291.055</v>
      </c>
    </row>
    <row r="97" spans="1:7" x14ac:dyDescent="0.25">
      <c r="A97">
        <v>28</v>
      </c>
      <c r="B97" t="s">
        <v>7</v>
      </c>
      <c r="C97">
        <v>37.619999999999997</v>
      </c>
      <c r="D97">
        <v>1</v>
      </c>
      <c r="E97" t="s">
        <v>11</v>
      </c>
      <c r="F97" t="s">
        <v>12</v>
      </c>
      <c r="G97">
        <v>3766.8838000000001</v>
      </c>
    </row>
    <row r="98" spans="1:7" x14ac:dyDescent="0.25">
      <c r="A98">
        <v>54</v>
      </c>
      <c r="B98" t="s">
        <v>7</v>
      </c>
      <c r="C98">
        <v>30.8</v>
      </c>
      <c r="D98">
        <v>3</v>
      </c>
      <c r="E98" t="s">
        <v>11</v>
      </c>
      <c r="F98" t="s">
        <v>9</v>
      </c>
      <c r="G98">
        <v>12105.32</v>
      </c>
    </row>
    <row r="99" spans="1:7" x14ac:dyDescent="0.25">
      <c r="A99">
        <v>55</v>
      </c>
      <c r="B99" t="s">
        <v>10</v>
      </c>
      <c r="C99">
        <v>38.28</v>
      </c>
      <c r="D99">
        <v>0</v>
      </c>
      <c r="E99" t="s">
        <v>11</v>
      </c>
      <c r="F99" t="s">
        <v>12</v>
      </c>
      <c r="G99">
        <v>10226.2842</v>
      </c>
    </row>
    <row r="100" spans="1:7" x14ac:dyDescent="0.25">
      <c r="A100">
        <v>56</v>
      </c>
      <c r="B100" t="s">
        <v>10</v>
      </c>
      <c r="C100">
        <v>19.95</v>
      </c>
      <c r="D100">
        <v>0</v>
      </c>
      <c r="E100" t="s">
        <v>8</v>
      </c>
      <c r="F100" t="s">
        <v>14</v>
      </c>
      <c r="G100">
        <v>22412.648499999999</v>
      </c>
    </row>
    <row r="101" spans="1:7" x14ac:dyDescent="0.25">
      <c r="A101">
        <v>38</v>
      </c>
      <c r="B101" t="s">
        <v>10</v>
      </c>
      <c r="C101">
        <v>19.3</v>
      </c>
      <c r="D101">
        <v>0</v>
      </c>
      <c r="E101" t="s">
        <v>8</v>
      </c>
      <c r="F101" t="s">
        <v>9</v>
      </c>
      <c r="G101">
        <v>15820.699000000001</v>
      </c>
    </row>
    <row r="102" spans="1:7" x14ac:dyDescent="0.25">
      <c r="A102">
        <v>41</v>
      </c>
      <c r="B102" t="s">
        <v>7</v>
      </c>
      <c r="C102">
        <v>31.6</v>
      </c>
      <c r="D102">
        <v>0</v>
      </c>
      <c r="E102" t="s">
        <v>11</v>
      </c>
      <c r="F102" t="s">
        <v>9</v>
      </c>
      <c r="G102">
        <v>6186.1270000000004</v>
      </c>
    </row>
    <row r="103" spans="1:7" x14ac:dyDescent="0.25">
      <c r="A103">
        <v>30</v>
      </c>
      <c r="B103" t="s">
        <v>10</v>
      </c>
      <c r="C103">
        <v>25.46</v>
      </c>
      <c r="D103">
        <v>0</v>
      </c>
      <c r="E103" t="s">
        <v>11</v>
      </c>
      <c r="F103" t="s">
        <v>14</v>
      </c>
      <c r="G103">
        <v>3645.0893999999998</v>
      </c>
    </row>
    <row r="104" spans="1:7" x14ac:dyDescent="0.25">
      <c r="A104">
        <v>18</v>
      </c>
      <c r="B104" t="s">
        <v>7</v>
      </c>
      <c r="C104">
        <v>30.114999999999998</v>
      </c>
      <c r="D104">
        <v>0</v>
      </c>
      <c r="E104" t="s">
        <v>11</v>
      </c>
      <c r="F104" t="s">
        <v>14</v>
      </c>
      <c r="G104">
        <v>21344.846699999998</v>
      </c>
    </row>
    <row r="105" spans="1:7" x14ac:dyDescent="0.25">
      <c r="A105">
        <v>61</v>
      </c>
      <c r="B105" t="s">
        <v>7</v>
      </c>
      <c r="C105">
        <v>29.92</v>
      </c>
      <c r="D105">
        <v>3</v>
      </c>
      <c r="E105" t="s">
        <v>8</v>
      </c>
      <c r="F105" t="s">
        <v>12</v>
      </c>
      <c r="G105">
        <v>30942.191800000001</v>
      </c>
    </row>
    <row r="106" spans="1:7" x14ac:dyDescent="0.25">
      <c r="A106">
        <v>34</v>
      </c>
      <c r="B106" t="s">
        <v>7</v>
      </c>
      <c r="C106">
        <v>27.5</v>
      </c>
      <c r="D106">
        <v>1</v>
      </c>
      <c r="E106" t="s">
        <v>11</v>
      </c>
      <c r="F106" t="s">
        <v>9</v>
      </c>
      <c r="G106">
        <v>5003.8530000000001</v>
      </c>
    </row>
    <row r="107" spans="1:7" x14ac:dyDescent="0.25">
      <c r="A107">
        <v>20</v>
      </c>
      <c r="B107" t="s">
        <v>10</v>
      </c>
      <c r="C107">
        <v>28.024999999999999</v>
      </c>
      <c r="D107">
        <v>1</v>
      </c>
      <c r="E107" t="s">
        <v>8</v>
      </c>
      <c r="F107" t="s">
        <v>13</v>
      </c>
      <c r="G107">
        <v>17560.37975</v>
      </c>
    </row>
    <row r="108" spans="1:7" x14ac:dyDescent="0.25">
      <c r="A108">
        <v>19</v>
      </c>
      <c r="B108" t="s">
        <v>7</v>
      </c>
      <c r="C108">
        <v>28.4</v>
      </c>
      <c r="D108">
        <v>1</v>
      </c>
      <c r="E108" t="s">
        <v>11</v>
      </c>
      <c r="F108" t="s">
        <v>9</v>
      </c>
      <c r="G108">
        <v>2331.5189999999998</v>
      </c>
    </row>
    <row r="109" spans="1:7" x14ac:dyDescent="0.25">
      <c r="A109">
        <v>26</v>
      </c>
      <c r="B109" t="s">
        <v>10</v>
      </c>
      <c r="C109">
        <v>30.875</v>
      </c>
      <c r="D109">
        <v>2</v>
      </c>
      <c r="E109" t="s">
        <v>11</v>
      </c>
      <c r="F109" t="s">
        <v>13</v>
      </c>
      <c r="G109">
        <v>3877.3042500000001</v>
      </c>
    </row>
    <row r="110" spans="1:7" x14ac:dyDescent="0.25">
      <c r="A110">
        <v>29</v>
      </c>
      <c r="B110" t="s">
        <v>10</v>
      </c>
      <c r="C110">
        <v>27.94</v>
      </c>
      <c r="D110">
        <v>0</v>
      </c>
      <c r="E110" t="s">
        <v>11</v>
      </c>
      <c r="F110" t="s">
        <v>12</v>
      </c>
      <c r="G110">
        <v>2867.1196</v>
      </c>
    </row>
    <row r="111" spans="1:7" x14ac:dyDescent="0.25">
      <c r="A111">
        <v>63</v>
      </c>
      <c r="B111" t="s">
        <v>10</v>
      </c>
      <c r="C111">
        <v>35.090000000000003</v>
      </c>
      <c r="D111">
        <v>0</v>
      </c>
      <c r="E111" t="s">
        <v>8</v>
      </c>
      <c r="F111" t="s">
        <v>12</v>
      </c>
      <c r="G111">
        <v>47055.532099999997</v>
      </c>
    </row>
    <row r="112" spans="1:7" x14ac:dyDescent="0.25">
      <c r="A112">
        <v>54</v>
      </c>
      <c r="B112" t="s">
        <v>10</v>
      </c>
      <c r="C112">
        <v>33.630000000000003</v>
      </c>
      <c r="D112">
        <v>1</v>
      </c>
      <c r="E112" t="s">
        <v>11</v>
      </c>
      <c r="F112" t="s">
        <v>13</v>
      </c>
      <c r="G112">
        <v>10825.253699999999</v>
      </c>
    </row>
    <row r="113" spans="1:7" x14ac:dyDescent="0.25">
      <c r="A113">
        <v>55</v>
      </c>
      <c r="B113" t="s">
        <v>7</v>
      </c>
      <c r="C113">
        <v>29.7</v>
      </c>
      <c r="D113">
        <v>2</v>
      </c>
      <c r="E113" t="s">
        <v>11</v>
      </c>
      <c r="F113" t="s">
        <v>9</v>
      </c>
      <c r="G113">
        <v>11881.358</v>
      </c>
    </row>
    <row r="114" spans="1:7" x14ac:dyDescent="0.25">
      <c r="A114">
        <v>37</v>
      </c>
      <c r="B114" t="s">
        <v>10</v>
      </c>
      <c r="C114">
        <v>30.8</v>
      </c>
      <c r="D114">
        <v>0</v>
      </c>
      <c r="E114" t="s">
        <v>11</v>
      </c>
      <c r="F114" t="s">
        <v>9</v>
      </c>
      <c r="G114">
        <v>4646.759</v>
      </c>
    </row>
    <row r="115" spans="1:7" x14ac:dyDescent="0.25">
      <c r="A115">
        <v>21</v>
      </c>
      <c r="B115" t="s">
        <v>7</v>
      </c>
      <c r="C115">
        <v>35.72</v>
      </c>
      <c r="D115">
        <v>0</v>
      </c>
      <c r="E115" t="s">
        <v>11</v>
      </c>
      <c r="F115" t="s">
        <v>13</v>
      </c>
      <c r="G115">
        <v>2404.7338</v>
      </c>
    </row>
    <row r="116" spans="1:7" x14ac:dyDescent="0.25">
      <c r="A116">
        <v>52</v>
      </c>
      <c r="B116" t="s">
        <v>10</v>
      </c>
      <c r="C116">
        <v>32.204999999999998</v>
      </c>
      <c r="D116">
        <v>3</v>
      </c>
      <c r="E116" t="s">
        <v>11</v>
      </c>
      <c r="F116" t="s">
        <v>14</v>
      </c>
      <c r="G116">
        <v>11488.31695</v>
      </c>
    </row>
    <row r="117" spans="1:7" x14ac:dyDescent="0.25">
      <c r="A117">
        <v>60</v>
      </c>
      <c r="B117" t="s">
        <v>10</v>
      </c>
      <c r="C117">
        <v>28.594999999999999</v>
      </c>
      <c r="D117">
        <v>0</v>
      </c>
      <c r="E117" t="s">
        <v>11</v>
      </c>
      <c r="F117" t="s">
        <v>14</v>
      </c>
      <c r="G117">
        <v>30259.995559999999</v>
      </c>
    </row>
    <row r="118" spans="1:7" x14ac:dyDescent="0.25">
      <c r="A118">
        <v>58</v>
      </c>
      <c r="B118" t="s">
        <v>10</v>
      </c>
      <c r="C118">
        <v>49.06</v>
      </c>
      <c r="D118">
        <v>0</v>
      </c>
      <c r="E118" t="s">
        <v>11</v>
      </c>
      <c r="F118" t="s">
        <v>12</v>
      </c>
      <c r="G118">
        <v>11381.3254</v>
      </c>
    </row>
    <row r="119" spans="1:7" x14ac:dyDescent="0.25">
      <c r="A119">
        <v>29</v>
      </c>
      <c r="B119" t="s">
        <v>7</v>
      </c>
      <c r="C119">
        <v>27.94</v>
      </c>
      <c r="D119">
        <v>1</v>
      </c>
      <c r="E119" t="s">
        <v>8</v>
      </c>
      <c r="F119" t="s">
        <v>12</v>
      </c>
      <c r="G119">
        <v>19107.779600000002</v>
      </c>
    </row>
    <row r="120" spans="1:7" x14ac:dyDescent="0.25">
      <c r="A120">
        <v>49</v>
      </c>
      <c r="B120" t="s">
        <v>7</v>
      </c>
      <c r="C120">
        <v>27.17</v>
      </c>
      <c r="D120">
        <v>0</v>
      </c>
      <c r="E120" t="s">
        <v>11</v>
      </c>
      <c r="F120" t="s">
        <v>12</v>
      </c>
      <c r="G120">
        <v>8601.3292999999994</v>
      </c>
    </row>
    <row r="121" spans="1:7" x14ac:dyDescent="0.25">
      <c r="A121">
        <v>37</v>
      </c>
      <c r="B121" t="s">
        <v>7</v>
      </c>
      <c r="C121">
        <v>23.37</v>
      </c>
      <c r="D121">
        <v>2</v>
      </c>
      <c r="E121" t="s">
        <v>11</v>
      </c>
      <c r="F121" t="s">
        <v>13</v>
      </c>
      <c r="G121">
        <v>6686.4313000000002</v>
      </c>
    </row>
    <row r="122" spans="1:7" x14ac:dyDescent="0.25">
      <c r="A122">
        <v>44</v>
      </c>
      <c r="B122" t="s">
        <v>10</v>
      </c>
      <c r="C122">
        <v>37.1</v>
      </c>
      <c r="D122">
        <v>2</v>
      </c>
      <c r="E122" t="s">
        <v>11</v>
      </c>
      <c r="F122" t="s">
        <v>9</v>
      </c>
      <c r="G122">
        <v>7740.3370000000004</v>
      </c>
    </row>
    <row r="123" spans="1:7" x14ac:dyDescent="0.25">
      <c r="A123">
        <v>18</v>
      </c>
      <c r="B123" t="s">
        <v>10</v>
      </c>
      <c r="C123">
        <v>23.75</v>
      </c>
      <c r="D123">
        <v>0</v>
      </c>
      <c r="E123" t="s">
        <v>11</v>
      </c>
      <c r="F123" t="s">
        <v>14</v>
      </c>
      <c r="G123">
        <v>1705.6244999999999</v>
      </c>
    </row>
    <row r="124" spans="1:7" x14ac:dyDescent="0.25">
      <c r="A124">
        <v>20</v>
      </c>
      <c r="B124" t="s">
        <v>7</v>
      </c>
      <c r="C124">
        <v>28.975000000000001</v>
      </c>
      <c r="D124">
        <v>0</v>
      </c>
      <c r="E124" t="s">
        <v>11</v>
      </c>
      <c r="F124" t="s">
        <v>13</v>
      </c>
      <c r="G124">
        <v>2257.47525</v>
      </c>
    </row>
    <row r="125" spans="1:7" x14ac:dyDescent="0.25">
      <c r="A125">
        <v>44</v>
      </c>
      <c r="B125" t="s">
        <v>10</v>
      </c>
      <c r="C125">
        <v>31.35</v>
      </c>
      <c r="D125">
        <v>1</v>
      </c>
      <c r="E125" t="s">
        <v>8</v>
      </c>
      <c r="F125" t="s">
        <v>14</v>
      </c>
      <c r="G125">
        <v>39556.494500000001</v>
      </c>
    </row>
    <row r="126" spans="1:7" x14ac:dyDescent="0.25">
      <c r="A126">
        <v>47</v>
      </c>
      <c r="B126" t="s">
        <v>7</v>
      </c>
      <c r="C126">
        <v>33.914999999999999</v>
      </c>
      <c r="D126">
        <v>3</v>
      </c>
      <c r="E126" t="s">
        <v>11</v>
      </c>
      <c r="F126" t="s">
        <v>13</v>
      </c>
      <c r="G126">
        <v>10115.00885</v>
      </c>
    </row>
    <row r="127" spans="1:7" x14ac:dyDescent="0.25">
      <c r="A127">
        <v>26</v>
      </c>
      <c r="B127" t="s">
        <v>7</v>
      </c>
      <c r="C127">
        <v>28.785</v>
      </c>
      <c r="D127">
        <v>0</v>
      </c>
      <c r="E127" t="s">
        <v>11</v>
      </c>
      <c r="F127" t="s">
        <v>14</v>
      </c>
      <c r="G127">
        <v>3385.3991500000002</v>
      </c>
    </row>
    <row r="128" spans="1:7" x14ac:dyDescent="0.25">
      <c r="A128">
        <v>19</v>
      </c>
      <c r="B128" t="s">
        <v>7</v>
      </c>
      <c r="C128">
        <v>28.3</v>
      </c>
      <c r="D128">
        <v>0</v>
      </c>
      <c r="E128" t="s">
        <v>8</v>
      </c>
      <c r="F128" t="s">
        <v>9</v>
      </c>
      <c r="G128">
        <v>17081.080000000002</v>
      </c>
    </row>
    <row r="129" spans="1:7" x14ac:dyDescent="0.25">
      <c r="A129">
        <v>52</v>
      </c>
      <c r="B129" t="s">
        <v>7</v>
      </c>
      <c r="C129">
        <v>37.4</v>
      </c>
      <c r="D129">
        <v>0</v>
      </c>
      <c r="E129" t="s">
        <v>11</v>
      </c>
      <c r="F129" t="s">
        <v>9</v>
      </c>
      <c r="G129">
        <v>9634.5380000000005</v>
      </c>
    </row>
    <row r="130" spans="1:7" x14ac:dyDescent="0.25">
      <c r="A130">
        <v>32</v>
      </c>
      <c r="B130" t="s">
        <v>7</v>
      </c>
      <c r="C130">
        <v>17.765000000000001</v>
      </c>
      <c r="D130">
        <v>2</v>
      </c>
      <c r="E130" t="s">
        <v>8</v>
      </c>
      <c r="F130" t="s">
        <v>13</v>
      </c>
      <c r="G130">
        <v>32734.186300000001</v>
      </c>
    </row>
    <row r="131" spans="1:7" x14ac:dyDescent="0.25">
      <c r="A131">
        <v>38</v>
      </c>
      <c r="B131" t="s">
        <v>10</v>
      </c>
      <c r="C131">
        <v>34.700000000000003</v>
      </c>
      <c r="D131">
        <v>2</v>
      </c>
      <c r="E131" t="s">
        <v>11</v>
      </c>
      <c r="F131" t="s">
        <v>9</v>
      </c>
      <c r="G131">
        <v>6082.4049999999997</v>
      </c>
    </row>
    <row r="132" spans="1:7" x14ac:dyDescent="0.25">
      <c r="A132">
        <v>59</v>
      </c>
      <c r="B132" t="s">
        <v>7</v>
      </c>
      <c r="C132">
        <v>26.504999999999999</v>
      </c>
      <c r="D132">
        <v>0</v>
      </c>
      <c r="E132" t="s">
        <v>11</v>
      </c>
      <c r="F132" t="s">
        <v>14</v>
      </c>
      <c r="G132">
        <v>12815.444949999999</v>
      </c>
    </row>
    <row r="133" spans="1:7" x14ac:dyDescent="0.25">
      <c r="A133">
        <v>61</v>
      </c>
      <c r="B133" t="s">
        <v>7</v>
      </c>
      <c r="C133">
        <v>22.04</v>
      </c>
      <c r="D133">
        <v>0</v>
      </c>
      <c r="E133" t="s">
        <v>11</v>
      </c>
      <c r="F133" t="s">
        <v>14</v>
      </c>
      <c r="G133">
        <v>13616.3586</v>
      </c>
    </row>
    <row r="134" spans="1:7" x14ac:dyDescent="0.25">
      <c r="A134">
        <v>53</v>
      </c>
      <c r="B134" t="s">
        <v>7</v>
      </c>
      <c r="C134">
        <v>35.9</v>
      </c>
      <c r="D134">
        <v>2</v>
      </c>
      <c r="E134" t="s">
        <v>11</v>
      </c>
      <c r="F134" t="s">
        <v>9</v>
      </c>
      <c r="G134">
        <v>11163.567999999999</v>
      </c>
    </row>
    <row r="135" spans="1:7" x14ac:dyDescent="0.25">
      <c r="A135">
        <v>19</v>
      </c>
      <c r="B135" t="s">
        <v>10</v>
      </c>
      <c r="C135">
        <v>25.555</v>
      </c>
      <c r="D135">
        <v>0</v>
      </c>
      <c r="E135" t="s">
        <v>11</v>
      </c>
      <c r="F135" t="s">
        <v>13</v>
      </c>
      <c r="G135">
        <v>1632.5644500000001</v>
      </c>
    </row>
    <row r="136" spans="1:7" x14ac:dyDescent="0.25">
      <c r="A136">
        <v>20</v>
      </c>
      <c r="B136" t="s">
        <v>7</v>
      </c>
      <c r="C136">
        <v>28.785</v>
      </c>
      <c r="D136">
        <v>0</v>
      </c>
      <c r="E136" t="s">
        <v>11</v>
      </c>
      <c r="F136" t="s">
        <v>14</v>
      </c>
      <c r="G136">
        <v>2457.2111500000001</v>
      </c>
    </row>
    <row r="137" spans="1:7" x14ac:dyDescent="0.25">
      <c r="A137">
        <v>22</v>
      </c>
      <c r="B137" t="s">
        <v>7</v>
      </c>
      <c r="C137">
        <v>28.05</v>
      </c>
      <c r="D137">
        <v>0</v>
      </c>
      <c r="E137" t="s">
        <v>11</v>
      </c>
      <c r="F137" t="s">
        <v>12</v>
      </c>
      <c r="G137">
        <v>2155.6815000000001</v>
      </c>
    </row>
    <row r="138" spans="1:7" x14ac:dyDescent="0.25">
      <c r="A138">
        <v>19</v>
      </c>
      <c r="B138" t="s">
        <v>10</v>
      </c>
      <c r="C138">
        <v>34.1</v>
      </c>
      <c r="D138">
        <v>0</v>
      </c>
      <c r="E138" t="s">
        <v>11</v>
      </c>
      <c r="F138" t="s">
        <v>9</v>
      </c>
      <c r="G138">
        <v>1261.442</v>
      </c>
    </row>
    <row r="139" spans="1:7" x14ac:dyDescent="0.25">
      <c r="A139">
        <v>22</v>
      </c>
      <c r="B139" t="s">
        <v>10</v>
      </c>
      <c r="C139">
        <v>25.175000000000001</v>
      </c>
      <c r="D139">
        <v>0</v>
      </c>
      <c r="E139" t="s">
        <v>11</v>
      </c>
      <c r="F139" t="s">
        <v>13</v>
      </c>
      <c r="G139">
        <v>2045.68525</v>
      </c>
    </row>
    <row r="140" spans="1:7" x14ac:dyDescent="0.25">
      <c r="A140">
        <v>54</v>
      </c>
      <c r="B140" t="s">
        <v>7</v>
      </c>
      <c r="C140">
        <v>31.9</v>
      </c>
      <c r="D140">
        <v>3</v>
      </c>
      <c r="E140" t="s">
        <v>11</v>
      </c>
      <c r="F140" t="s">
        <v>12</v>
      </c>
      <c r="G140">
        <v>27322.73386</v>
      </c>
    </row>
    <row r="141" spans="1:7" x14ac:dyDescent="0.25">
      <c r="A141">
        <v>22</v>
      </c>
      <c r="B141" t="s">
        <v>7</v>
      </c>
      <c r="C141">
        <v>36</v>
      </c>
      <c r="D141">
        <v>0</v>
      </c>
      <c r="E141" t="s">
        <v>11</v>
      </c>
      <c r="F141" t="s">
        <v>9</v>
      </c>
      <c r="G141">
        <v>2166.732</v>
      </c>
    </row>
    <row r="142" spans="1:7" x14ac:dyDescent="0.25">
      <c r="A142">
        <v>34</v>
      </c>
      <c r="B142" t="s">
        <v>10</v>
      </c>
      <c r="C142">
        <v>22.42</v>
      </c>
      <c r="D142">
        <v>2</v>
      </c>
      <c r="E142" t="s">
        <v>11</v>
      </c>
      <c r="F142" t="s">
        <v>14</v>
      </c>
      <c r="G142">
        <v>27375.904780000001</v>
      </c>
    </row>
    <row r="143" spans="1:7" x14ac:dyDescent="0.25">
      <c r="A143">
        <v>26</v>
      </c>
      <c r="B143" t="s">
        <v>10</v>
      </c>
      <c r="C143">
        <v>32.49</v>
      </c>
      <c r="D143">
        <v>1</v>
      </c>
      <c r="E143" t="s">
        <v>11</v>
      </c>
      <c r="F143" t="s">
        <v>14</v>
      </c>
      <c r="G143">
        <v>3490.5491000000002</v>
      </c>
    </row>
    <row r="144" spans="1:7" x14ac:dyDescent="0.25">
      <c r="A144">
        <v>34</v>
      </c>
      <c r="B144" t="s">
        <v>10</v>
      </c>
      <c r="C144">
        <v>25.3</v>
      </c>
      <c r="D144">
        <v>2</v>
      </c>
      <c r="E144" t="s">
        <v>8</v>
      </c>
      <c r="F144" t="s">
        <v>12</v>
      </c>
      <c r="G144">
        <v>18972.494999999999</v>
      </c>
    </row>
    <row r="145" spans="1:7" x14ac:dyDescent="0.25">
      <c r="A145">
        <v>29</v>
      </c>
      <c r="B145" t="s">
        <v>10</v>
      </c>
      <c r="C145">
        <v>29.734999999999999</v>
      </c>
      <c r="D145">
        <v>2</v>
      </c>
      <c r="E145" t="s">
        <v>11</v>
      </c>
      <c r="F145" t="s">
        <v>13</v>
      </c>
      <c r="G145">
        <v>18157.876</v>
      </c>
    </row>
    <row r="146" spans="1:7" x14ac:dyDescent="0.25">
      <c r="A146">
        <v>30</v>
      </c>
      <c r="B146" t="s">
        <v>10</v>
      </c>
      <c r="C146">
        <v>28.69</v>
      </c>
      <c r="D146">
        <v>3</v>
      </c>
      <c r="E146" t="s">
        <v>8</v>
      </c>
      <c r="F146" t="s">
        <v>13</v>
      </c>
      <c r="G146">
        <v>20745.989099999999</v>
      </c>
    </row>
    <row r="147" spans="1:7" x14ac:dyDescent="0.25">
      <c r="A147">
        <v>29</v>
      </c>
      <c r="B147" t="s">
        <v>7</v>
      </c>
      <c r="C147">
        <v>38.83</v>
      </c>
      <c r="D147">
        <v>3</v>
      </c>
      <c r="E147" t="s">
        <v>11</v>
      </c>
      <c r="F147" t="s">
        <v>12</v>
      </c>
      <c r="G147">
        <v>5138.2566999999999</v>
      </c>
    </row>
    <row r="148" spans="1:7" x14ac:dyDescent="0.25">
      <c r="A148">
        <v>46</v>
      </c>
      <c r="B148" t="s">
        <v>10</v>
      </c>
      <c r="C148">
        <v>30.495000000000001</v>
      </c>
      <c r="D148">
        <v>3</v>
      </c>
      <c r="E148" t="s">
        <v>8</v>
      </c>
      <c r="F148" t="s">
        <v>13</v>
      </c>
      <c r="G148">
        <v>40720.551050000002</v>
      </c>
    </row>
    <row r="149" spans="1:7" x14ac:dyDescent="0.25">
      <c r="A149">
        <v>51</v>
      </c>
      <c r="B149" t="s">
        <v>7</v>
      </c>
      <c r="C149">
        <v>37.729999999999997</v>
      </c>
      <c r="D149">
        <v>1</v>
      </c>
      <c r="E149" t="s">
        <v>11</v>
      </c>
      <c r="F149" t="s">
        <v>12</v>
      </c>
      <c r="G149">
        <v>9877.6077000000005</v>
      </c>
    </row>
    <row r="150" spans="1:7" x14ac:dyDescent="0.25">
      <c r="A150">
        <v>53</v>
      </c>
      <c r="B150" t="s">
        <v>7</v>
      </c>
      <c r="C150">
        <v>37.43</v>
      </c>
      <c r="D150">
        <v>1</v>
      </c>
      <c r="E150" t="s">
        <v>11</v>
      </c>
      <c r="F150" t="s">
        <v>13</v>
      </c>
      <c r="G150">
        <v>10959.6947</v>
      </c>
    </row>
    <row r="151" spans="1:7" x14ac:dyDescent="0.25">
      <c r="A151">
        <v>19</v>
      </c>
      <c r="B151" t="s">
        <v>10</v>
      </c>
      <c r="C151">
        <v>28.4</v>
      </c>
      <c r="D151">
        <v>1</v>
      </c>
      <c r="E151" t="s">
        <v>11</v>
      </c>
      <c r="F151" t="s">
        <v>9</v>
      </c>
      <c r="G151">
        <v>1842.519</v>
      </c>
    </row>
    <row r="152" spans="1:7" x14ac:dyDescent="0.25">
      <c r="A152">
        <v>35</v>
      </c>
      <c r="B152" t="s">
        <v>10</v>
      </c>
      <c r="C152">
        <v>24.13</v>
      </c>
      <c r="D152">
        <v>1</v>
      </c>
      <c r="E152" t="s">
        <v>11</v>
      </c>
      <c r="F152" t="s">
        <v>13</v>
      </c>
      <c r="G152">
        <v>5125.2156999999997</v>
      </c>
    </row>
    <row r="153" spans="1:7" x14ac:dyDescent="0.25">
      <c r="A153">
        <v>48</v>
      </c>
      <c r="B153" t="s">
        <v>10</v>
      </c>
      <c r="C153">
        <v>29.7</v>
      </c>
      <c r="D153">
        <v>0</v>
      </c>
      <c r="E153" t="s">
        <v>11</v>
      </c>
      <c r="F153" t="s">
        <v>12</v>
      </c>
      <c r="G153">
        <v>7789.6350000000002</v>
      </c>
    </row>
    <row r="154" spans="1:7" x14ac:dyDescent="0.25">
      <c r="A154">
        <v>32</v>
      </c>
      <c r="B154" t="s">
        <v>7</v>
      </c>
      <c r="C154">
        <v>37.145000000000003</v>
      </c>
      <c r="D154">
        <v>3</v>
      </c>
      <c r="E154" t="s">
        <v>11</v>
      </c>
      <c r="F154" t="s">
        <v>14</v>
      </c>
      <c r="G154">
        <v>6334.3435499999996</v>
      </c>
    </row>
    <row r="155" spans="1:7" x14ac:dyDescent="0.25">
      <c r="A155">
        <v>42</v>
      </c>
      <c r="B155" t="s">
        <v>7</v>
      </c>
      <c r="C155">
        <v>23.37</v>
      </c>
      <c r="D155">
        <v>0</v>
      </c>
      <c r="E155" t="s">
        <v>8</v>
      </c>
      <c r="F155" t="s">
        <v>14</v>
      </c>
      <c r="G155">
        <v>19964.746299999999</v>
      </c>
    </row>
    <row r="156" spans="1:7" x14ac:dyDescent="0.25">
      <c r="A156">
        <v>40</v>
      </c>
      <c r="B156" t="s">
        <v>7</v>
      </c>
      <c r="C156">
        <v>25.46</v>
      </c>
      <c r="D156">
        <v>1</v>
      </c>
      <c r="E156" t="s">
        <v>11</v>
      </c>
      <c r="F156" t="s">
        <v>14</v>
      </c>
      <c r="G156">
        <v>7077.1894000000002</v>
      </c>
    </row>
    <row r="157" spans="1:7" x14ac:dyDescent="0.25">
      <c r="A157">
        <v>44</v>
      </c>
      <c r="B157" t="s">
        <v>10</v>
      </c>
      <c r="C157">
        <v>39.520000000000003</v>
      </c>
      <c r="D157">
        <v>0</v>
      </c>
      <c r="E157" t="s">
        <v>11</v>
      </c>
      <c r="F157" t="s">
        <v>13</v>
      </c>
      <c r="G157">
        <v>6948.7007999999996</v>
      </c>
    </row>
    <row r="158" spans="1:7" x14ac:dyDescent="0.25">
      <c r="A158">
        <v>48</v>
      </c>
      <c r="B158" t="s">
        <v>10</v>
      </c>
      <c r="C158">
        <v>24.42</v>
      </c>
      <c r="D158">
        <v>0</v>
      </c>
      <c r="E158" t="s">
        <v>8</v>
      </c>
      <c r="F158" t="s">
        <v>12</v>
      </c>
      <c r="G158">
        <v>21223.675800000001</v>
      </c>
    </row>
    <row r="159" spans="1:7" x14ac:dyDescent="0.25">
      <c r="A159">
        <v>18</v>
      </c>
      <c r="B159" t="s">
        <v>10</v>
      </c>
      <c r="C159">
        <v>25.175000000000001</v>
      </c>
      <c r="D159">
        <v>0</v>
      </c>
      <c r="E159" t="s">
        <v>8</v>
      </c>
      <c r="F159" t="s">
        <v>14</v>
      </c>
      <c r="G159">
        <v>15518.180249999999</v>
      </c>
    </row>
    <row r="160" spans="1:7" x14ac:dyDescent="0.25">
      <c r="A160">
        <v>30</v>
      </c>
      <c r="B160" t="s">
        <v>10</v>
      </c>
      <c r="C160">
        <v>35.53</v>
      </c>
      <c r="D160">
        <v>0</v>
      </c>
      <c r="E160" t="s">
        <v>8</v>
      </c>
      <c r="F160" t="s">
        <v>12</v>
      </c>
      <c r="G160">
        <v>36950.256699999998</v>
      </c>
    </row>
    <row r="161" spans="1:7" x14ac:dyDescent="0.25">
      <c r="A161">
        <v>50</v>
      </c>
      <c r="B161" t="s">
        <v>7</v>
      </c>
      <c r="C161">
        <v>27.83</v>
      </c>
      <c r="D161">
        <v>3</v>
      </c>
      <c r="E161" t="s">
        <v>11</v>
      </c>
      <c r="F161" t="s">
        <v>12</v>
      </c>
      <c r="G161">
        <v>19749.383379999999</v>
      </c>
    </row>
    <row r="162" spans="1:7" x14ac:dyDescent="0.25">
      <c r="A162">
        <v>42</v>
      </c>
      <c r="B162" t="s">
        <v>7</v>
      </c>
      <c r="C162">
        <v>26.6</v>
      </c>
      <c r="D162">
        <v>0</v>
      </c>
      <c r="E162" t="s">
        <v>8</v>
      </c>
      <c r="F162" t="s">
        <v>13</v>
      </c>
      <c r="G162">
        <v>21348.705999999998</v>
      </c>
    </row>
    <row r="163" spans="1:7" x14ac:dyDescent="0.25">
      <c r="A163">
        <v>18</v>
      </c>
      <c r="B163" t="s">
        <v>7</v>
      </c>
      <c r="C163">
        <v>36.85</v>
      </c>
      <c r="D163">
        <v>0</v>
      </c>
      <c r="E163" t="s">
        <v>8</v>
      </c>
      <c r="F163" t="s">
        <v>12</v>
      </c>
      <c r="G163">
        <v>36149.483500000002</v>
      </c>
    </row>
    <row r="164" spans="1:7" x14ac:dyDescent="0.25">
      <c r="A164">
        <v>54</v>
      </c>
      <c r="B164" t="s">
        <v>10</v>
      </c>
      <c r="C164">
        <v>39.6</v>
      </c>
      <c r="D164">
        <v>1</v>
      </c>
      <c r="E164" t="s">
        <v>11</v>
      </c>
      <c r="F164" t="s">
        <v>9</v>
      </c>
      <c r="G164">
        <v>10450.552</v>
      </c>
    </row>
    <row r="165" spans="1:7" x14ac:dyDescent="0.25">
      <c r="A165">
        <v>32</v>
      </c>
      <c r="B165" t="s">
        <v>7</v>
      </c>
      <c r="C165">
        <v>29.8</v>
      </c>
      <c r="D165">
        <v>2</v>
      </c>
      <c r="E165" t="s">
        <v>11</v>
      </c>
      <c r="F165" t="s">
        <v>9</v>
      </c>
      <c r="G165">
        <v>5152.134</v>
      </c>
    </row>
    <row r="166" spans="1:7" x14ac:dyDescent="0.25">
      <c r="A166">
        <v>37</v>
      </c>
      <c r="B166" t="s">
        <v>10</v>
      </c>
      <c r="C166">
        <v>29.64</v>
      </c>
      <c r="D166">
        <v>0</v>
      </c>
      <c r="E166" t="s">
        <v>11</v>
      </c>
      <c r="F166" t="s">
        <v>13</v>
      </c>
      <c r="G166">
        <v>5028.1466</v>
      </c>
    </row>
    <row r="167" spans="1:7" x14ac:dyDescent="0.25">
      <c r="A167">
        <v>47</v>
      </c>
      <c r="B167" t="s">
        <v>10</v>
      </c>
      <c r="C167">
        <v>28.215</v>
      </c>
      <c r="D167">
        <v>4</v>
      </c>
      <c r="E167" t="s">
        <v>11</v>
      </c>
      <c r="F167" t="s">
        <v>14</v>
      </c>
      <c r="G167">
        <v>10407.085849999999</v>
      </c>
    </row>
    <row r="168" spans="1:7" x14ac:dyDescent="0.25">
      <c r="A168">
        <v>20</v>
      </c>
      <c r="B168" t="s">
        <v>7</v>
      </c>
      <c r="C168">
        <v>37</v>
      </c>
      <c r="D168">
        <v>5</v>
      </c>
      <c r="E168" t="s">
        <v>11</v>
      </c>
      <c r="F168" t="s">
        <v>9</v>
      </c>
      <c r="G168">
        <v>4830.63</v>
      </c>
    </row>
    <row r="169" spans="1:7" x14ac:dyDescent="0.25">
      <c r="A169">
        <v>32</v>
      </c>
      <c r="B169" t="s">
        <v>7</v>
      </c>
      <c r="C169">
        <v>33.155000000000001</v>
      </c>
      <c r="D169">
        <v>3</v>
      </c>
      <c r="E169" t="s">
        <v>11</v>
      </c>
      <c r="F169" t="s">
        <v>13</v>
      </c>
      <c r="G169">
        <v>6128.79745</v>
      </c>
    </row>
    <row r="170" spans="1:7" x14ac:dyDescent="0.25">
      <c r="A170">
        <v>19</v>
      </c>
      <c r="B170" t="s">
        <v>7</v>
      </c>
      <c r="C170">
        <v>31.824999999999999</v>
      </c>
      <c r="D170">
        <v>1</v>
      </c>
      <c r="E170" t="s">
        <v>11</v>
      </c>
      <c r="F170" t="s">
        <v>13</v>
      </c>
      <c r="G170">
        <v>2719.2797500000001</v>
      </c>
    </row>
    <row r="171" spans="1:7" x14ac:dyDescent="0.25">
      <c r="A171">
        <v>27</v>
      </c>
      <c r="B171" t="s">
        <v>10</v>
      </c>
      <c r="C171">
        <v>18.905000000000001</v>
      </c>
      <c r="D171">
        <v>3</v>
      </c>
      <c r="E171" t="s">
        <v>11</v>
      </c>
      <c r="F171" t="s">
        <v>14</v>
      </c>
      <c r="G171">
        <v>4827.9049500000001</v>
      </c>
    </row>
    <row r="172" spans="1:7" x14ac:dyDescent="0.25">
      <c r="A172">
        <v>63</v>
      </c>
      <c r="B172" t="s">
        <v>10</v>
      </c>
      <c r="C172">
        <v>41.47</v>
      </c>
      <c r="D172">
        <v>0</v>
      </c>
      <c r="E172" t="s">
        <v>11</v>
      </c>
      <c r="F172" t="s">
        <v>12</v>
      </c>
      <c r="G172">
        <v>13405.390299999999</v>
      </c>
    </row>
    <row r="173" spans="1:7" x14ac:dyDescent="0.25">
      <c r="A173">
        <v>49</v>
      </c>
      <c r="B173" t="s">
        <v>10</v>
      </c>
      <c r="C173">
        <v>30.3</v>
      </c>
      <c r="D173">
        <v>0</v>
      </c>
      <c r="E173" t="s">
        <v>11</v>
      </c>
      <c r="F173" t="s">
        <v>9</v>
      </c>
      <c r="G173">
        <v>8116.68</v>
      </c>
    </row>
    <row r="174" spans="1:7" x14ac:dyDescent="0.25">
      <c r="A174">
        <v>18</v>
      </c>
      <c r="B174" t="s">
        <v>10</v>
      </c>
      <c r="C174">
        <v>15.96</v>
      </c>
      <c r="D174">
        <v>0</v>
      </c>
      <c r="E174" t="s">
        <v>11</v>
      </c>
      <c r="F174" t="s">
        <v>14</v>
      </c>
      <c r="G174">
        <v>1694.7963999999999</v>
      </c>
    </row>
    <row r="175" spans="1:7" x14ac:dyDescent="0.25">
      <c r="A175">
        <v>35</v>
      </c>
      <c r="B175" t="s">
        <v>7</v>
      </c>
      <c r="C175">
        <v>34.799999999999997</v>
      </c>
      <c r="D175">
        <v>1</v>
      </c>
      <c r="E175" t="s">
        <v>11</v>
      </c>
      <c r="F175" t="s">
        <v>9</v>
      </c>
      <c r="G175">
        <v>5246.0469999999996</v>
      </c>
    </row>
    <row r="176" spans="1:7" x14ac:dyDescent="0.25">
      <c r="A176">
        <v>24</v>
      </c>
      <c r="B176" t="s">
        <v>7</v>
      </c>
      <c r="C176">
        <v>33.344999999999999</v>
      </c>
      <c r="D176">
        <v>0</v>
      </c>
      <c r="E176" t="s">
        <v>11</v>
      </c>
      <c r="F176" t="s">
        <v>13</v>
      </c>
      <c r="G176">
        <v>2855.4375500000001</v>
      </c>
    </row>
    <row r="177" spans="1:7" x14ac:dyDescent="0.25">
      <c r="A177">
        <v>63</v>
      </c>
      <c r="B177" t="s">
        <v>7</v>
      </c>
      <c r="C177">
        <v>37.700000000000003</v>
      </c>
      <c r="D177">
        <v>0</v>
      </c>
      <c r="E177" t="s">
        <v>8</v>
      </c>
      <c r="F177" t="s">
        <v>9</v>
      </c>
      <c r="G177">
        <v>48824.45</v>
      </c>
    </row>
    <row r="178" spans="1:7" x14ac:dyDescent="0.25">
      <c r="A178">
        <v>38</v>
      </c>
      <c r="B178" t="s">
        <v>10</v>
      </c>
      <c r="C178">
        <v>27.835000000000001</v>
      </c>
      <c r="D178">
        <v>2</v>
      </c>
      <c r="E178" t="s">
        <v>11</v>
      </c>
      <c r="F178" t="s">
        <v>13</v>
      </c>
      <c r="G178">
        <v>6455.86265</v>
      </c>
    </row>
    <row r="179" spans="1:7" x14ac:dyDescent="0.25">
      <c r="A179">
        <v>54</v>
      </c>
      <c r="B179" t="s">
        <v>10</v>
      </c>
      <c r="C179">
        <v>29.2</v>
      </c>
      <c r="D179">
        <v>1</v>
      </c>
      <c r="E179" t="s">
        <v>11</v>
      </c>
      <c r="F179" t="s">
        <v>9</v>
      </c>
      <c r="G179">
        <v>10436.096</v>
      </c>
    </row>
    <row r="180" spans="1:7" x14ac:dyDescent="0.25">
      <c r="A180">
        <v>46</v>
      </c>
      <c r="B180" t="s">
        <v>7</v>
      </c>
      <c r="C180">
        <v>28.9</v>
      </c>
      <c r="D180">
        <v>2</v>
      </c>
      <c r="E180" t="s">
        <v>11</v>
      </c>
      <c r="F180" t="s">
        <v>9</v>
      </c>
      <c r="G180">
        <v>8823.2790000000005</v>
      </c>
    </row>
    <row r="181" spans="1:7" x14ac:dyDescent="0.25">
      <c r="A181">
        <v>41</v>
      </c>
      <c r="B181" t="s">
        <v>7</v>
      </c>
      <c r="C181">
        <v>33.155000000000001</v>
      </c>
      <c r="D181">
        <v>3</v>
      </c>
      <c r="E181" t="s">
        <v>11</v>
      </c>
      <c r="F181" t="s">
        <v>14</v>
      </c>
      <c r="G181">
        <v>8538.28845</v>
      </c>
    </row>
    <row r="182" spans="1:7" x14ac:dyDescent="0.25">
      <c r="A182">
        <v>58</v>
      </c>
      <c r="B182" t="s">
        <v>10</v>
      </c>
      <c r="C182">
        <v>28.594999999999999</v>
      </c>
      <c r="D182">
        <v>0</v>
      </c>
      <c r="E182" t="s">
        <v>11</v>
      </c>
      <c r="F182" t="s">
        <v>13</v>
      </c>
      <c r="G182">
        <v>11735.87905</v>
      </c>
    </row>
    <row r="183" spans="1:7" x14ac:dyDescent="0.25">
      <c r="A183">
        <v>18</v>
      </c>
      <c r="B183" t="s">
        <v>7</v>
      </c>
      <c r="C183">
        <v>38.28</v>
      </c>
      <c r="D183">
        <v>0</v>
      </c>
      <c r="E183" t="s">
        <v>11</v>
      </c>
      <c r="F183" t="s">
        <v>12</v>
      </c>
      <c r="G183">
        <v>1631.8212000000001</v>
      </c>
    </row>
    <row r="184" spans="1:7" x14ac:dyDescent="0.25">
      <c r="A184">
        <v>22</v>
      </c>
      <c r="B184" t="s">
        <v>10</v>
      </c>
      <c r="C184">
        <v>19.95</v>
      </c>
      <c r="D184">
        <v>3</v>
      </c>
      <c r="E184" t="s">
        <v>11</v>
      </c>
      <c r="F184" t="s">
        <v>14</v>
      </c>
      <c r="G184">
        <v>4005.4225000000001</v>
      </c>
    </row>
    <row r="185" spans="1:7" x14ac:dyDescent="0.25">
      <c r="A185">
        <v>44</v>
      </c>
      <c r="B185" t="s">
        <v>7</v>
      </c>
      <c r="C185">
        <v>26.41</v>
      </c>
      <c r="D185">
        <v>0</v>
      </c>
      <c r="E185" t="s">
        <v>11</v>
      </c>
      <c r="F185" t="s">
        <v>13</v>
      </c>
      <c r="G185">
        <v>7419.4778999999999</v>
      </c>
    </row>
    <row r="186" spans="1:7" x14ac:dyDescent="0.25">
      <c r="A186">
        <v>44</v>
      </c>
      <c r="B186" t="s">
        <v>10</v>
      </c>
      <c r="C186">
        <v>30.69</v>
      </c>
      <c r="D186">
        <v>2</v>
      </c>
      <c r="E186" t="s">
        <v>11</v>
      </c>
      <c r="F186" t="s">
        <v>12</v>
      </c>
      <c r="G186">
        <v>7731.4270999999999</v>
      </c>
    </row>
    <row r="187" spans="1:7" x14ac:dyDescent="0.25">
      <c r="A187">
        <v>36</v>
      </c>
      <c r="B187" t="s">
        <v>10</v>
      </c>
      <c r="C187">
        <v>41.895000000000003</v>
      </c>
      <c r="D187">
        <v>3</v>
      </c>
      <c r="E187" t="s">
        <v>8</v>
      </c>
      <c r="F187" t="s">
        <v>14</v>
      </c>
      <c r="G187">
        <v>43753.337050000002</v>
      </c>
    </row>
    <row r="188" spans="1:7" x14ac:dyDescent="0.25">
      <c r="A188">
        <v>26</v>
      </c>
      <c r="B188" t="s">
        <v>7</v>
      </c>
      <c r="C188">
        <v>29.92</v>
      </c>
      <c r="D188">
        <v>2</v>
      </c>
      <c r="E188" t="s">
        <v>11</v>
      </c>
      <c r="F188" t="s">
        <v>12</v>
      </c>
      <c r="G188">
        <v>3981.9767999999999</v>
      </c>
    </row>
    <row r="189" spans="1:7" x14ac:dyDescent="0.25">
      <c r="A189">
        <v>30</v>
      </c>
      <c r="B189" t="s">
        <v>7</v>
      </c>
      <c r="C189">
        <v>30.9</v>
      </c>
      <c r="D189">
        <v>3</v>
      </c>
      <c r="E189" t="s">
        <v>11</v>
      </c>
      <c r="F189" t="s">
        <v>9</v>
      </c>
      <c r="G189">
        <v>5325.6509999999998</v>
      </c>
    </row>
    <row r="190" spans="1:7" x14ac:dyDescent="0.25">
      <c r="A190">
        <v>41</v>
      </c>
      <c r="B190" t="s">
        <v>7</v>
      </c>
      <c r="C190">
        <v>32.200000000000003</v>
      </c>
      <c r="D190">
        <v>1</v>
      </c>
      <c r="E190" t="s">
        <v>11</v>
      </c>
      <c r="F190" t="s">
        <v>9</v>
      </c>
      <c r="G190">
        <v>6775.9610000000002</v>
      </c>
    </row>
    <row r="191" spans="1:7" x14ac:dyDescent="0.25">
      <c r="A191">
        <v>29</v>
      </c>
      <c r="B191" t="s">
        <v>7</v>
      </c>
      <c r="C191">
        <v>32.11</v>
      </c>
      <c r="D191">
        <v>2</v>
      </c>
      <c r="E191" t="s">
        <v>11</v>
      </c>
      <c r="F191" t="s">
        <v>13</v>
      </c>
      <c r="G191">
        <v>4922.9159</v>
      </c>
    </row>
    <row r="192" spans="1:7" x14ac:dyDescent="0.25">
      <c r="A192">
        <v>61</v>
      </c>
      <c r="B192" t="s">
        <v>10</v>
      </c>
      <c r="C192">
        <v>31.57</v>
      </c>
      <c r="D192">
        <v>0</v>
      </c>
      <c r="E192" t="s">
        <v>11</v>
      </c>
      <c r="F192" t="s">
        <v>12</v>
      </c>
      <c r="G192">
        <v>12557.605299999999</v>
      </c>
    </row>
    <row r="193" spans="1:7" x14ac:dyDescent="0.25">
      <c r="A193">
        <v>36</v>
      </c>
      <c r="B193" t="s">
        <v>7</v>
      </c>
      <c r="C193">
        <v>26.2</v>
      </c>
      <c r="D193">
        <v>0</v>
      </c>
      <c r="E193" t="s">
        <v>11</v>
      </c>
      <c r="F193" t="s">
        <v>9</v>
      </c>
      <c r="G193">
        <v>4883.866</v>
      </c>
    </row>
    <row r="194" spans="1:7" x14ac:dyDescent="0.25">
      <c r="A194">
        <v>25</v>
      </c>
      <c r="B194" t="s">
        <v>10</v>
      </c>
      <c r="C194">
        <v>25.74</v>
      </c>
      <c r="D194">
        <v>0</v>
      </c>
      <c r="E194" t="s">
        <v>11</v>
      </c>
      <c r="F194" t="s">
        <v>12</v>
      </c>
      <c r="G194">
        <v>2137.6536000000001</v>
      </c>
    </row>
    <row r="195" spans="1:7" x14ac:dyDescent="0.25">
      <c r="A195">
        <v>56</v>
      </c>
      <c r="B195" t="s">
        <v>7</v>
      </c>
      <c r="C195">
        <v>26.6</v>
      </c>
      <c r="D195">
        <v>1</v>
      </c>
      <c r="E195" t="s">
        <v>11</v>
      </c>
      <c r="F195" t="s">
        <v>13</v>
      </c>
      <c r="G195">
        <v>12044.342000000001</v>
      </c>
    </row>
    <row r="196" spans="1:7" x14ac:dyDescent="0.25">
      <c r="A196">
        <v>18</v>
      </c>
      <c r="B196" t="s">
        <v>10</v>
      </c>
      <c r="C196">
        <v>34.43</v>
      </c>
      <c r="D196">
        <v>0</v>
      </c>
      <c r="E196" t="s">
        <v>11</v>
      </c>
      <c r="F196" t="s">
        <v>12</v>
      </c>
      <c r="G196">
        <v>1137.4697000000001</v>
      </c>
    </row>
    <row r="197" spans="1:7" x14ac:dyDescent="0.25">
      <c r="A197">
        <v>19</v>
      </c>
      <c r="B197" t="s">
        <v>10</v>
      </c>
      <c r="C197">
        <v>30.59</v>
      </c>
      <c r="D197">
        <v>0</v>
      </c>
      <c r="E197" t="s">
        <v>11</v>
      </c>
      <c r="F197" t="s">
        <v>13</v>
      </c>
      <c r="G197">
        <v>1639.5631000000001</v>
      </c>
    </row>
    <row r="198" spans="1:7" x14ac:dyDescent="0.25">
      <c r="A198">
        <v>39</v>
      </c>
      <c r="B198" t="s">
        <v>7</v>
      </c>
      <c r="C198">
        <v>32.799999999999997</v>
      </c>
      <c r="D198">
        <v>0</v>
      </c>
      <c r="E198" t="s">
        <v>11</v>
      </c>
      <c r="F198" t="s">
        <v>9</v>
      </c>
      <c r="G198">
        <v>5649.7150000000001</v>
      </c>
    </row>
    <row r="199" spans="1:7" x14ac:dyDescent="0.25">
      <c r="A199">
        <v>45</v>
      </c>
      <c r="B199" t="s">
        <v>7</v>
      </c>
      <c r="C199">
        <v>28.6</v>
      </c>
      <c r="D199">
        <v>2</v>
      </c>
      <c r="E199" t="s">
        <v>11</v>
      </c>
      <c r="F199" t="s">
        <v>12</v>
      </c>
      <c r="G199">
        <v>8516.8289999999997</v>
      </c>
    </row>
    <row r="200" spans="1:7" x14ac:dyDescent="0.25">
      <c r="A200">
        <v>51</v>
      </c>
      <c r="B200" t="s">
        <v>7</v>
      </c>
      <c r="C200">
        <v>18.05</v>
      </c>
      <c r="D200">
        <v>0</v>
      </c>
      <c r="E200" t="s">
        <v>11</v>
      </c>
      <c r="F200" t="s">
        <v>13</v>
      </c>
      <c r="G200">
        <v>9644.2525000000005</v>
      </c>
    </row>
    <row r="201" spans="1:7" x14ac:dyDescent="0.25">
      <c r="A201">
        <v>64</v>
      </c>
      <c r="B201" t="s">
        <v>7</v>
      </c>
      <c r="C201">
        <v>39.33</v>
      </c>
      <c r="D201">
        <v>0</v>
      </c>
      <c r="E201" t="s">
        <v>11</v>
      </c>
      <c r="F201" t="s">
        <v>14</v>
      </c>
      <c r="G201">
        <v>14901.5167</v>
      </c>
    </row>
    <row r="202" spans="1:7" x14ac:dyDescent="0.25">
      <c r="A202">
        <v>19</v>
      </c>
      <c r="B202" t="s">
        <v>7</v>
      </c>
      <c r="C202">
        <v>32.11</v>
      </c>
      <c r="D202">
        <v>0</v>
      </c>
      <c r="E202" t="s">
        <v>11</v>
      </c>
      <c r="F202" t="s">
        <v>13</v>
      </c>
      <c r="G202">
        <v>2130.6759000000002</v>
      </c>
    </row>
    <row r="203" spans="1:7" x14ac:dyDescent="0.25">
      <c r="A203">
        <v>48</v>
      </c>
      <c r="B203" t="s">
        <v>7</v>
      </c>
      <c r="C203">
        <v>32.229999999999997</v>
      </c>
      <c r="D203">
        <v>1</v>
      </c>
      <c r="E203" t="s">
        <v>11</v>
      </c>
      <c r="F203" t="s">
        <v>12</v>
      </c>
      <c r="G203">
        <v>8871.1517000000003</v>
      </c>
    </row>
    <row r="204" spans="1:7" x14ac:dyDescent="0.25">
      <c r="A204">
        <v>60</v>
      </c>
      <c r="B204" t="s">
        <v>7</v>
      </c>
      <c r="C204">
        <v>24.035</v>
      </c>
      <c r="D204">
        <v>0</v>
      </c>
      <c r="E204" t="s">
        <v>11</v>
      </c>
      <c r="F204" t="s">
        <v>13</v>
      </c>
      <c r="G204">
        <v>13012.20865</v>
      </c>
    </row>
    <row r="205" spans="1:7" x14ac:dyDescent="0.25">
      <c r="A205">
        <v>27</v>
      </c>
      <c r="B205" t="s">
        <v>7</v>
      </c>
      <c r="C205">
        <v>36.08</v>
      </c>
      <c r="D205">
        <v>0</v>
      </c>
      <c r="E205" t="s">
        <v>8</v>
      </c>
      <c r="F205" t="s">
        <v>12</v>
      </c>
      <c r="G205">
        <v>37133.898200000003</v>
      </c>
    </row>
    <row r="206" spans="1:7" x14ac:dyDescent="0.25">
      <c r="A206">
        <v>46</v>
      </c>
      <c r="B206" t="s">
        <v>10</v>
      </c>
      <c r="C206">
        <v>22.3</v>
      </c>
      <c r="D206">
        <v>0</v>
      </c>
      <c r="E206" t="s">
        <v>11</v>
      </c>
      <c r="F206" t="s">
        <v>9</v>
      </c>
      <c r="G206">
        <v>7147.1049999999996</v>
      </c>
    </row>
    <row r="207" spans="1:7" x14ac:dyDescent="0.25">
      <c r="A207">
        <v>28</v>
      </c>
      <c r="B207" t="s">
        <v>7</v>
      </c>
      <c r="C207">
        <v>28.88</v>
      </c>
      <c r="D207">
        <v>1</v>
      </c>
      <c r="E207" t="s">
        <v>11</v>
      </c>
      <c r="F207" t="s">
        <v>14</v>
      </c>
      <c r="G207">
        <v>4337.7352000000001</v>
      </c>
    </row>
    <row r="208" spans="1:7" x14ac:dyDescent="0.25">
      <c r="A208">
        <v>59</v>
      </c>
      <c r="B208" t="s">
        <v>10</v>
      </c>
      <c r="C208">
        <v>26.4</v>
      </c>
      <c r="D208">
        <v>0</v>
      </c>
      <c r="E208" t="s">
        <v>11</v>
      </c>
      <c r="F208" t="s">
        <v>12</v>
      </c>
      <c r="G208">
        <v>11743.299000000001</v>
      </c>
    </row>
    <row r="209" spans="1:7" x14ac:dyDescent="0.25">
      <c r="A209">
        <v>35</v>
      </c>
      <c r="B209" t="s">
        <v>10</v>
      </c>
      <c r="C209">
        <v>27.74</v>
      </c>
      <c r="D209">
        <v>2</v>
      </c>
      <c r="E209" t="s">
        <v>8</v>
      </c>
      <c r="F209" t="s">
        <v>14</v>
      </c>
      <c r="G209">
        <v>20984.0936</v>
      </c>
    </row>
    <row r="210" spans="1:7" x14ac:dyDescent="0.25">
      <c r="A210">
        <v>63</v>
      </c>
      <c r="B210" t="s">
        <v>7</v>
      </c>
      <c r="C210">
        <v>31.8</v>
      </c>
      <c r="D210">
        <v>0</v>
      </c>
      <c r="E210" t="s">
        <v>11</v>
      </c>
      <c r="F210" t="s">
        <v>9</v>
      </c>
      <c r="G210">
        <v>13880.949000000001</v>
      </c>
    </row>
    <row r="211" spans="1:7" x14ac:dyDescent="0.25">
      <c r="A211">
        <v>40</v>
      </c>
      <c r="B211" t="s">
        <v>10</v>
      </c>
      <c r="C211">
        <v>41.23</v>
      </c>
      <c r="D211">
        <v>1</v>
      </c>
      <c r="E211" t="s">
        <v>11</v>
      </c>
      <c r="F211" t="s">
        <v>14</v>
      </c>
      <c r="G211">
        <v>6610.1097</v>
      </c>
    </row>
    <row r="212" spans="1:7" x14ac:dyDescent="0.25">
      <c r="A212">
        <v>20</v>
      </c>
      <c r="B212" t="s">
        <v>10</v>
      </c>
      <c r="C212">
        <v>33</v>
      </c>
      <c r="D212">
        <v>1</v>
      </c>
      <c r="E212" t="s">
        <v>11</v>
      </c>
      <c r="F212" t="s">
        <v>9</v>
      </c>
      <c r="G212">
        <v>1980.07</v>
      </c>
    </row>
    <row r="213" spans="1:7" x14ac:dyDescent="0.25">
      <c r="A213">
        <v>40</v>
      </c>
      <c r="B213" t="s">
        <v>10</v>
      </c>
      <c r="C213">
        <v>30.875</v>
      </c>
      <c r="D213">
        <v>4</v>
      </c>
      <c r="E213" t="s">
        <v>11</v>
      </c>
      <c r="F213" t="s">
        <v>13</v>
      </c>
      <c r="G213">
        <v>8162.7162500000004</v>
      </c>
    </row>
    <row r="214" spans="1:7" x14ac:dyDescent="0.25">
      <c r="A214">
        <v>24</v>
      </c>
      <c r="B214" t="s">
        <v>10</v>
      </c>
      <c r="C214">
        <v>28.5</v>
      </c>
      <c r="D214">
        <v>2</v>
      </c>
      <c r="E214" t="s">
        <v>11</v>
      </c>
      <c r="F214" t="s">
        <v>13</v>
      </c>
      <c r="G214">
        <v>3537.703</v>
      </c>
    </row>
    <row r="215" spans="1:7" x14ac:dyDescent="0.25">
      <c r="A215">
        <v>34</v>
      </c>
      <c r="B215" t="s">
        <v>7</v>
      </c>
      <c r="C215">
        <v>26.73</v>
      </c>
      <c r="D215">
        <v>1</v>
      </c>
      <c r="E215" t="s">
        <v>11</v>
      </c>
      <c r="F215" t="s">
        <v>12</v>
      </c>
      <c r="G215">
        <v>5002.7826999999997</v>
      </c>
    </row>
    <row r="216" spans="1:7" x14ac:dyDescent="0.25">
      <c r="A216">
        <v>45</v>
      </c>
      <c r="B216" t="s">
        <v>7</v>
      </c>
      <c r="C216">
        <v>30.9</v>
      </c>
      <c r="D216">
        <v>2</v>
      </c>
      <c r="E216" t="s">
        <v>11</v>
      </c>
      <c r="F216" t="s">
        <v>9</v>
      </c>
      <c r="G216">
        <v>8520.0259999999998</v>
      </c>
    </row>
    <row r="217" spans="1:7" x14ac:dyDescent="0.25">
      <c r="A217">
        <v>41</v>
      </c>
      <c r="B217" t="s">
        <v>7</v>
      </c>
      <c r="C217">
        <v>37.1</v>
      </c>
      <c r="D217">
        <v>2</v>
      </c>
      <c r="E217" t="s">
        <v>11</v>
      </c>
      <c r="F217" t="s">
        <v>9</v>
      </c>
      <c r="G217">
        <v>7371.7719999999999</v>
      </c>
    </row>
    <row r="218" spans="1:7" x14ac:dyDescent="0.25">
      <c r="A218">
        <v>53</v>
      </c>
      <c r="B218" t="s">
        <v>7</v>
      </c>
      <c r="C218">
        <v>26.6</v>
      </c>
      <c r="D218">
        <v>0</v>
      </c>
      <c r="E218" t="s">
        <v>11</v>
      </c>
      <c r="F218" t="s">
        <v>13</v>
      </c>
      <c r="G218">
        <v>10355.641</v>
      </c>
    </row>
    <row r="219" spans="1:7" x14ac:dyDescent="0.25">
      <c r="A219">
        <v>27</v>
      </c>
      <c r="B219" t="s">
        <v>10</v>
      </c>
      <c r="C219">
        <v>23.1</v>
      </c>
      <c r="D219">
        <v>0</v>
      </c>
      <c r="E219" t="s">
        <v>11</v>
      </c>
      <c r="F219" t="s">
        <v>12</v>
      </c>
      <c r="G219">
        <v>2483.7359999999999</v>
      </c>
    </row>
    <row r="220" spans="1:7" x14ac:dyDescent="0.25">
      <c r="A220">
        <v>26</v>
      </c>
      <c r="B220" t="s">
        <v>7</v>
      </c>
      <c r="C220">
        <v>29.92</v>
      </c>
      <c r="D220">
        <v>1</v>
      </c>
      <c r="E220" t="s">
        <v>11</v>
      </c>
      <c r="F220" t="s">
        <v>12</v>
      </c>
      <c r="G220">
        <v>3392.9767999999999</v>
      </c>
    </row>
    <row r="221" spans="1:7" x14ac:dyDescent="0.25">
      <c r="A221">
        <v>24</v>
      </c>
      <c r="B221" t="s">
        <v>7</v>
      </c>
      <c r="C221">
        <v>23.21</v>
      </c>
      <c r="D221">
        <v>0</v>
      </c>
      <c r="E221" t="s">
        <v>11</v>
      </c>
      <c r="F221" t="s">
        <v>12</v>
      </c>
      <c r="G221">
        <v>25081.76784</v>
      </c>
    </row>
    <row r="222" spans="1:7" x14ac:dyDescent="0.25">
      <c r="A222">
        <v>34</v>
      </c>
      <c r="B222" t="s">
        <v>7</v>
      </c>
      <c r="C222">
        <v>33.700000000000003</v>
      </c>
      <c r="D222">
        <v>1</v>
      </c>
      <c r="E222" t="s">
        <v>11</v>
      </c>
      <c r="F222" t="s">
        <v>9</v>
      </c>
      <c r="G222">
        <v>5012.4709999999995</v>
      </c>
    </row>
    <row r="223" spans="1:7" x14ac:dyDescent="0.25">
      <c r="A223">
        <v>53</v>
      </c>
      <c r="B223" t="s">
        <v>7</v>
      </c>
      <c r="C223">
        <v>33.25</v>
      </c>
      <c r="D223">
        <v>0</v>
      </c>
      <c r="E223" t="s">
        <v>11</v>
      </c>
      <c r="F223" t="s">
        <v>14</v>
      </c>
      <c r="G223">
        <v>10564.8845</v>
      </c>
    </row>
    <row r="224" spans="1:7" x14ac:dyDescent="0.25">
      <c r="A224">
        <v>32</v>
      </c>
      <c r="B224" t="s">
        <v>10</v>
      </c>
      <c r="C224">
        <v>30.8</v>
      </c>
      <c r="D224">
        <v>3</v>
      </c>
      <c r="E224" t="s">
        <v>11</v>
      </c>
      <c r="F224" t="s">
        <v>9</v>
      </c>
      <c r="G224">
        <v>5253.5240000000003</v>
      </c>
    </row>
    <row r="225" spans="1:7" x14ac:dyDescent="0.25">
      <c r="A225">
        <v>19</v>
      </c>
      <c r="B225" t="s">
        <v>10</v>
      </c>
      <c r="C225">
        <v>34.799999999999997</v>
      </c>
      <c r="D225">
        <v>0</v>
      </c>
      <c r="E225" t="s">
        <v>8</v>
      </c>
      <c r="F225" t="s">
        <v>9</v>
      </c>
      <c r="G225">
        <v>34779.614999999998</v>
      </c>
    </row>
    <row r="226" spans="1:7" x14ac:dyDescent="0.25">
      <c r="A226">
        <v>42</v>
      </c>
      <c r="B226" t="s">
        <v>10</v>
      </c>
      <c r="C226">
        <v>24.64</v>
      </c>
      <c r="D226">
        <v>0</v>
      </c>
      <c r="E226" t="s">
        <v>8</v>
      </c>
      <c r="F226" t="s">
        <v>12</v>
      </c>
      <c r="G226">
        <v>19515.5416</v>
      </c>
    </row>
    <row r="227" spans="1:7" x14ac:dyDescent="0.25">
      <c r="A227">
        <v>55</v>
      </c>
      <c r="B227" t="s">
        <v>10</v>
      </c>
      <c r="C227">
        <v>33.880000000000003</v>
      </c>
      <c r="D227">
        <v>3</v>
      </c>
      <c r="E227" t="s">
        <v>11</v>
      </c>
      <c r="F227" t="s">
        <v>12</v>
      </c>
      <c r="G227">
        <v>11987.1682</v>
      </c>
    </row>
    <row r="228" spans="1:7" x14ac:dyDescent="0.25">
      <c r="A228">
        <v>28</v>
      </c>
      <c r="B228" t="s">
        <v>10</v>
      </c>
      <c r="C228">
        <v>38.06</v>
      </c>
      <c r="D228">
        <v>0</v>
      </c>
      <c r="E228" t="s">
        <v>11</v>
      </c>
      <c r="F228" t="s">
        <v>12</v>
      </c>
      <c r="G228">
        <v>2689.4953999999998</v>
      </c>
    </row>
    <row r="229" spans="1:7" x14ac:dyDescent="0.25">
      <c r="A229">
        <v>58</v>
      </c>
      <c r="B229" t="s">
        <v>7</v>
      </c>
      <c r="C229">
        <v>41.91</v>
      </c>
      <c r="D229">
        <v>0</v>
      </c>
      <c r="E229" t="s">
        <v>11</v>
      </c>
      <c r="F229" t="s">
        <v>12</v>
      </c>
      <c r="G229">
        <v>24227.337240000001</v>
      </c>
    </row>
    <row r="230" spans="1:7" x14ac:dyDescent="0.25">
      <c r="A230">
        <v>41</v>
      </c>
      <c r="B230" t="s">
        <v>7</v>
      </c>
      <c r="C230">
        <v>31.635000000000002</v>
      </c>
      <c r="D230">
        <v>1</v>
      </c>
      <c r="E230" t="s">
        <v>11</v>
      </c>
      <c r="F230" t="s">
        <v>14</v>
      </c>
      <c r="G230">
        <v>7358.1756500000001</v>
      </c>
    </row>
    <row r="231" spans="1:7" x14ac:dyDescent="0.25">
      <c r="A231">
        <v>47</v>
      </c>
      <c r="B231" t="s">
        <v>10</v>
      </c>
      <c r="C231">
        <v>25.46</v>
      </c>
      <c r="D231">
        <v>2</v>
      </c>
      <c r="E231" t="s">
        <v>11</v>
      </c>
      <c r="F231" t="s">
        <v>14</v>
      </c>
      <c r="G231">
        <v>9225.2564000000002</v>
      </c>
    </row>
    <row r="232" spans="1:7" x14ac:dyDescent="0.25">
      <c r="A232">
        <v>42</v>
      </c>
      <c r="B232" t="s">
        <v>7</v>
      </c>
      <c r="C232">
        <v>36.195</v>
      </c>
      <c r="D232">
        <v>1</v>
      </c>
      <c r="E232" t="s">
        <v>11</v>
      </c>
      <c r="F232" t="s">
        <v>13</v>
      </c>
      <c r="G232">
        <v>7443.6430499999997</v>
      </c>
    </row>
    <row r="233" spans="1:7" x14ac:dyDescent="0.25">
      <c r="A233">
        <v>59</v>
      </c>
      <c r="B233" t="s">
        <v>7</v>
      </c>
      <c r="C233">
        <v>27.83</v>
      </c>
      <c r="D233">
        <v>3</v>
      </c>
      <c r="E233" t="s">
        <v>11</v>
      </c>
      <c r="F233" t="s">
        <v>12</v>
      </c>
      <c r="G233">
        <v>14001.286700000001</v>
      </c>
    </row>
    <row r="234" spans="1:7" x14ac:dyDescent="0.25">
      <c r="A234">
        <v>19</v>
      </c>
      <c r="B234" t="s">
        <v>7</v>
      </c>
      <c r="C234">
        <v>17.8</v>
      </c>
      <c r="D234">
        <v>0</v>
      </c>
      <c r="E234" t="s">
        <v>11</v>
      </c>
      <c r="F234" t="s">
        <v>9</v>
      </c>
      <c r="G234">
        <v>1727.7850000000001</v>
      </c>
    </row>
    <row r="235" spans="1:7" x14ac:dyDescent="0.25">
      <c r="A235">
        <v>59</v>
      </c>
      <c r="B235" t="s">
        <v>10</v>
      </c>
      <c r="C235">
        <v>27.5</v>
      </c>
      <c r="D235">
        <v>1</v>
      </c>
      <c r="E235" t="s">
        <v>11</v>
      </c>
      <c r="F235" t="s">
        <v>9</v>
      </c>
      <c r="G235">
        <v>12333.828</v>
      </c>
    </row>
    <row r="236" spans="1:7" x14ac:dyDescent="0.25">
      <c r="A236">
        <v>39</v>
      </c>
      <c r="B236" t="s">
        <v>10</v>
      </c>
      <c r="C236">
        <v>24.51</v>
      </c>
      <c r="D236">
        <v>2</v>
      </c>
      <c r="E236" t="s">
        <v>11</v>
      </c>
      <c r="F236" t="s">
        <v>13</v>
      </c>
      <c r="G236">
        <v>6710.1918999999998</v>
      </c>
    </row>
    <row r="237" spans="1:7" x14ac:dyDescent="0.25">
      <c r="A237">
        <v>40</v>
      </c>
      <c r="B237" t="s">
        <v>7</v>
      </c>
      <c r="C237">
        <v>22.22</v>
      </c>
      <c r="D237">
        <v>2</v>
      </c>
      <c r="E237" t="s">
        <v>8</v>
      </c>
      <c r="F237" t="s">
        <v>12</v>
      </c>
      <c r="G237">
        <v>19444.265800000001</v>
      </c>
    </row>
    <row r="238" spans="1:7" x14ac:dyDescent="0.25">
      <c r="A238">
        <v>18</v>
      </c>
      <c r="B238" t="s">
        <v>7</v>
      </c>
      <c r="C238">
        <v>26.73</v>
      </c>
      <c r="D238">
        <v>0</v>
      </c>
      <c r="E238" t="s">
        <v>11</v>
      </c>
      <c r="F238" t="s">
        <v>12</v>
      </c>
      <c r="G238">
        <v>1615.7666999999999</v>
      </c>
    </row>
    <row r="239" spans="1:7" x14ac:dyDescent="0.25">
      <c r="A239">
        <v>31</v>
      </c>
      <c r="B239" t="s">
        <v>10</v>
      </c>
      <c r="C239">
        <v>38.39</v>
      </c>
      <c r="D239">
        <v>2</v>
      </c>
      <c r="E239" t="s">
        <v>11</v>
      </c>
      <c r="F239" t="s">
        <v>12</v>
      </c>
      <c r="G239">
        <v>4463.2051000000001</v>
      </c>
    </row>
    <row r="240" spans="1:7" x14ac:dyDescent="0.25">
      <c r="A240">
        <v>19</v>
      </c>
      <c r="B240" t="s">
        <v>10</v>
      </c>
      <c r="C240">
        <v>29.07</v>
      </c>
      <c r="D240">
        <v>0</v>
      </c>
      <c r="E240" t="s">
        <v>8</v>
      </c>
      <c r="F240" t="s">
        <v>13</v>
      </c>
      <c r="G240">
        <v>17352.6803</v>
      </c>
    </row>
    <row r="241" spans="1:7" x14ac:dyDescent="0.25">
      <c r="A241">
        <v>44</v>
      </c>
      <c r="B241" t="s">
        <v>10</v>
      </c>
      <c r="C241">
        <v>38.06</v>
      </c>
      <c r="D241">
        <v>1</v>
      </c>
      <c r="E241" t="s">
        <v>11</v>
      </c>
      <c r="F241" t="s">
        <v>12</v>
      </c>
      <c r="G241">
        <v>7152.6714000000002</v>
      </c>
    </row>
    <row r="242" spans="1:7" x14ac:dyDescent="0.25">
      <c r="A242">
        <v>23</v>
      </c>
      <c r="B242" t="s">
        <v>7</v>
      </c>
      <c r="C242">
        <v>36.67</v>
      </c>
      <c r="D242">
        <v>2</v>
      </c>
      <c r="E242" t="s">
        <v>8</v>
      </c>
      <c r="F242" t="s">
        <v>14</v>
      </c>
      <c r="G242">
        <v>38511.628299999997</v>
      </c>
    </row>
    <row r="243" spans="1:7" x14ac:dyDescent="0.25">
      <c r="A243">
        <v>33</v>
      </c>
      <c r="B243" t="s">
        <v>7</v>
      </c>
      <c r="C243">
        <v>22.135000000000002</v>
      </c>
      <c r="D243">
        <v>1</v>
      </c>
      <c r="E243" t="s">
        <v>11</v>
      </c>
      <c r="F243" t="s">
        <v>14</v>
      </c>
      <c r="G243">
        <v>5354.0746499999996</v>
      </c>
    </row>
    <row r="244" spans="1:7" x14ac:dyDescent="0.25">
      <c r="A244">
        <v>55</v>
      </c>
      <c r="B244" t="s">
        <v>7</v>
      </c>
      <c r="C244">
        <v>26.8</v>
      </c>
      <c r="D244">
        <v>1</v>
      </c>
      <c r="E244" t="s">
        <v>11</v>
      </c>
      <c r="F244" t="s">
        <v>9</v>
      </c>
      <c r="G244">
        <v>35160.134570000002</v>
      </c>
    </row>
    <row r="245" spans="1:7" x14ac:dyDescent="0.25">
      <c r="A245">
        <v>40</v>
      </c>
      <c r="B245" t="s">
        <v>10</v>
      </c>
      <c r="C245">
        <v>35.299999999999997</v>
      </c>
      <c r="D245">
        <v>3</v>
      </c>
      <c r="E245" t="s">
        <v>11</v>
      </c>
      <c r="F245" t="s">
        <v>9</v>
      </c>
      <c r="G245">
        <v>7196.8670000000002</v>
      </c>
    </row>
    <row r="246" spans="1:7" x14ac:dyDescent="0.25">
      <c r="A246">
        <v>63</v>
      </c>
      <c r="B246" t="s">
        <v>7</v>
      </c>
      <c r="C246">
        <v>27.74</v>
      </c>
      <c r="D246">
        <v>0</v>
      </c>
      <c r="E246" t="s">
        <v>8</v>
      </c>
      <c r="F246" t="s">
        <v>14</v>
      </c>
      <c r="G246">
        <v>29523.1656</v>
      </c>
    </row>
    <row r="247" spans="1:7" x14ac:dyDescent="0.25">
      <c r="A247">
        <v>54</v>
      </c>
      <c r="B247" t="s">
        <v>10</v>
      </c>
      <c r="C247">
        <v>30.02</v>
      </c>
      <c r="D247">
        <v>0</v>
      </c>
      <c r="E247" t="s">
        <v>11</v>
      </c>
      <c r="F247" t="s">
        <v>13</v>
      </c>
      <c r="G247">
        <v>24476.478510000001</v>
      </c>
    </row>
    <row r="248" spans="1:7" x14ac:dyDescent="0.25">
      <c r="A248">
        <v>60</v>
      </c>
      <c r="B248" t="s">
        <v>7</v>
      </c>
      <c r="C248">
        <v>38.06</v>
      </c>
      <c r="D248">
        <v>0</v>
      </c>
      <c r="E248" t="s">
        <v>11</v>
      </c>
      <c r="F248" t="s">
        <v>12</v>
      </c>
      <c r="G248">
        <v>12648.7034</v>
      </c>
    </row>
    <row r="249" spans="1:7" x14ac:dyDescent="0.25">
      <c r="A249">
        <v>24</v>
      </c>
      <c r="B249" t="s">
        <v>10</v>
      </c>
      <c r="C249">
        <v>35.86</v>
      </c>
      <c r="D249">
        <v>0</v>
      </c>
      <c r="E249" t="s">
        <v>11</v>
      </c>
      <c r="F249" t="s">
        <v>12</v>
      </c>
      <c r="G249">
        <v>1986.9333999999999</v>
      </c>
    </row>
    <row r="250" spans="1:7" x14ac:dyDescent="0.25">
      <c r="A250">
        <v>19</v>
      </c>
      <c r="B250" t="s">
        <v>10</v>
      </c>
      <c r="C250">
        <v>20.9</v>
      </c>
      <c r="D250">
        <v>1</v>
      </c>
      <c r="E250" t="s">
        <v>11</v>
      </c>
      <c r="F250" t="s">
        <v>9</v>
      </c>
      <c r="G250">
        <v>1832.0940000000001</v>
      </c>
    </row>
    <row r="251" spans="1:7" x14ac:dyDescent="0.25">
      <c r="A251">
        <v>29</v>
      </c>
      <c r="B251" t="s">
        <v>10</v>
      </c>
      <c r="C251">
        <v>28.975000000000001</v>
      </c>
      <c r="D251">
        <v>1</v>
      </c>
      <c r="E251" t="s">
        <v>11</v>
      </c>
      <c r="F251" t="s">
        <v>14</v>
      </c>
      <c r="G251">
        <v>4040.55825</v>
      </c>
    </row>
    <row r="252" spans="1:7" x14ac:dyDescent="0.25">
      <c r="A252">
        <v>18</v>
      </c>
      <c r="B252" t="s">
        <v>10</v>
      </c>
      <c r="C252">
        <v>17.29</v>
      </c>
      <c r="D252">
        <v>2</v>
      </c>
      <c r="E252" t="s">
        <v>8</v>
      </c>
      <c r="F252" t="s">
        <v>14</v>
      </c>
      <c r="G252">
        <v>12829.455099999999</v>
      </c>
    </row>
    <row r="253" spans="1:7" x14ac:dyDescent="0.25">
      <c r="A253">
        <v>63</v>
      </c>
      <c r="B253" t="s">
        <v>7</v>
      </c>
      <c r="C253">
        <v>32.200000000000003</v>
      </c>
      <c r="D253">
        <v>2</v>
      </c>
      <c r="E253" t="s">
        <v>8</v>
      </c>
      <c r="F253" t="s">
        <v>9</v>
      </c>
      <c r="G253">
        <v>47305.305</v>
      </c>
    </row>
    <row r="254" spans="1:7" x14ac:dyDescent="0.25">
      <c r="A254">
        <v>54</v>
      </c>
      <c r="B254" t="s">
        <v>10</v>
      </c>
      <c r="C254">
        <v>34.21</v>
      </c>
      <c r="D254">
        <v>2</v>
      </c>
      <c r="E254" t="s">
        <v>8</v>
      </c>
      <c r="F254" t="s">
        <v>12</v>
      </c>
      <c r="G254">
        <v>44260.749900000003</v>
      </c>
    </row>
    <row r="255" spans="1:7" x14ac:dyDescent="0.25">
      <c r="A255">
        <v>27</v>
      </c>
      <c r="B255" t="s">
        <v>10</v>
      </c>
      <c r="C255">
        <v>30.3</v>
      </c>
      <c r="D255">
        <v>3</v>
      </c>
      <c r="E255" t="s">
        <v>11</v>
      </c>
      <c r="F255" t="s">
        <v>9</v>
      </c>
      <c r="G255">
        <v>4260.7439999999997</v>
      </c>
    </row>
    <row r="256" spans="1:7" x14ac:dyDescent="0.25">
      <c r="A256">
        <v>50</v>
      </c>
      <c r="B256" t="s">
        <v>10</v>
      </c>
      <c r="C256">
        <v>31.824999999999999</v>
      </c>
      <c r="D256">
        <v>0</v>
      </c>
      <c r="E256" t="s">
        <v>8</v>
      </c>
      <c r="F256" t="s">
        <v>14</v>
      </c>
      <c r="G256">
        <v>41097.161749999999</v>
      </c>
    </row>
    <row r="257" spans="1:7" x14ac:dyDescent="0.25">
      <c r="A257">
        <v>55</v>
      </c>
      <c r="B257" t="s">
        <v>7</v>
      </c>
      <c r="C257">
        <v>25.364999999999998</v>
      </c>
      <c r="D257">
        <v>3</v>
      </c>
      <c r="E257" t="s">
        <v>11</v>
      </c>
      <c r="F257" t="s">
        <v>14</v>
      </c>
      <c r="G257">
        <v>13047.332350000001</v>
      </c>
    </row>
    <row r="258" spans="1:7" x14ac:dyDescent="0.25">
      <c r="A258">
        <v>56</v>
      </c>
      <c r="B258" t="s">
        <v>10</v>
      </c>
      <c r="C258">
        <v>33.630000000000003</v>
      </c>
      <c r="D258">
        <v>0</v>
      </c>
      <c r="E258" t="s">
        <v>8</v>
      </c>
      <c r="F258" t="s">
        <v>13</v>
      </c>
      <c r="G258">
        <v>43921.183700000001</v>
      </c>
    </row>
    <row r="259" spans="1:7" x14ac:dyDescent="0.25">
      <c r="A259">
        <v>38</v>
      </c>
      <c r="B259" t="s">
        <v>7</v>
      </c>
      <c r="C259">
        <v>40.15</v>
      </c>
      <c r="D259">
        <v>0</v>
      </c>
      <c r="E259" t="s">
        <v>11</v>
      </c>
      <c r="F259" t="s">
        <v>12</v>
      </c>
      <c r="G259">
        <v>5400.9804999999997</v>
      </c>
    </row>
    <row r="260" spans="1:7" x14ac:dyDescent="0.25">
      <c r="A260">
        <v>51</v>
      </c>
      <c r="B260" t="s">
        <v>10</v>
      </c>
      <c r="C260">
        <v>24.414999999999999</v>
      </c>
      <c r="D260">
        <v>4</v>
      </c>
      <c r="E260" t="s">
        <v>11</v>
      </c>
      <c r="F260" t="s">
        <v>13</v>
      </c>
      <c r="G260">
        <v>11520.099850000001</v>
      </c>
    </row>
    <row r="261" spans="1:7" x14ac:dyDescent="0.25">
      <c r="A261">
        <v>19</v>
      </c>
      <c r="B261" t="s">
        <v>10</v>
      </c>
      <c r="C261">
        <v>31.92</v>
      </c>
      <c r="D261">
        <v>0</v>
      </c>
      <c r="E261" t="s">
        <v>8</v>
      </c>
      <c r="F261" t="s">
        <v>13</v>
      </c>
      <c r="G261">
        <v>33750.291799999999</v>
      </c>
    </row>
    <row r="262" spans="1:7" x14ac:dyDescent="0.25">
      <c r="A262">
        <v>58</v>
      </c>
      <c r="B262" t="s">
        <v>7</v>
      </c>
      <c r="C262">
        <v>25.2</v>
      </c>
      <c r="D262">
        <v>0</v>
      </c>
      <c r="E262" t="s">
        <v>11</v>
      </c>
      <c r="F262" t="s">
        <v>9</v>
      </c>
      <c r="G262">
        <v>11837.16</v>
      </c>
    </row>
    <row r="263" spans="1:7" x14ac:dyDescent="0.25">
      <c r="A263">
        <v>20</v>
      </c>
      <c r="B263" t="s">
        <v>7</v>
      </c>
      <c r="C263">
        <v>26.84</v>
      </c>
      <c r="D263">
        <v>1</v>
      </c>
      <c r="E263" t="s">
        <v>8</v>
      </c>
      <c r="F263" t="s">
        <v>12</v>
      </c>
      <c r="G263">
        <v>17085.267599999999</v>
      </c>
    </row>
    <row r="264" spans="1:7" x14ac:dyDescent="0.25">
      <c r="A264">
        <v>52</v>
      </c>
      <c r="B264" t="s">
        <v>10</v>
      </c>
      <c r="C264">
        <v>24.32</v>
      </c>
      <c r="D264">
        <v>3</v>
      </c>
      <c r="E264" t="s">
        <v>8</v>
      </c>
      <c r="F264" t="s">
        <v>14</v>
      </c>
      <c r="G264">
        <v>24869.836800000001</v>
      </c>
    </row>
    <row r="265" spans="1:7" x14ac:dyDescent="0.25">
      <c r="A265">
        <v>19</v>
      </c>
      <c r="B265" t="s">
        <v>10</v>
      </c>
      <c r="C265">
        <v>36.954999999999998</v>
      </c>
      <c r="D265">
        <v>0</v>
      </c>
      <c r="E265" t="s">
        <v>8</v>
      </c>
      <c r="F265" t="s">
        <v>13</v>
      </c>
      <c r="G265">
        <v>36219.405449999998</v>
      </c>
    </row>
    <row r="266" spans="1:7" x14ac:dyDescent="0.25">
      <c r="A266">
        <v>53</v>
      </c>
      <c r="B266" t="s">
        <v>7</v>
      </c>
      <c r="C266">
        <v>38.06</v>
      </c>
      <c r="D266">
        <v>3</v>
      </c>
      <c r="E266" t="s">
        <v>11</v>
      </c>
      <c r="F266" t="s">
        <v>12</v>
      </c>
      <c r="G266">
        <v>20462.997660000001</v>
      </c>
    </row>
    <row r="267" spans="1:7" x14ac:dyDescent="0.25">
      <c r="A267">
        <v>46</v>
      </c>
      <c r="B267" t="s">
        <v>10</v>
      </c>
      <c r="C267">
        <v>42.35</v>
      </c>
      <c r="D267">
        <v>3</v>
      </c>
      <c r="E267" t="s">
        <v>8</v>
      </c>
      <c r="F267" t="s">
        <v>12</v>
      </c>
      <c r="G267">
        <v>46151.124499999998</v>
      </c>
    </row>
    <row r="268" spans="1:7" x14ac:dyDescent="0.25">
      <c r="A268">
        <v>40</v>
      </c>
      <c r="B268" t="s">
        <v>10</v>
      </c>
      <c r="C268">
        <v>19.8</v>
      </c>
      <c r="D268">
        <v>1</v>
      </c>
      <c r="E268" t="s">
        <v>8</v>
      </c>
      <c r="F268" t="s">
        <v>12</v>
      </c>
      <c r="G268">
        <v>17179.522000000001</v>
      </c>
    </row>
    <row r="269" spans="1:7" x14ac:dyDescent="0.25">
      <c r="A269">
        <v>59</v>
      </c>
      <c r="B269" t="s">
        <v>7</v>
      </c>
      <c r="C269">
        <v>32.395000000000003</v>
      </c>
      <c r="D269">
        <v>3</v>
      </c>
      <c r="E269" t="s">
        <v>11</v>
      </c>
      <c r="F269" t="s">
        <v>14</v>
      </c>
      <c r="G269">
        <v>14590.63205</v>
      </c>
    </row>
    <row r="270" spans="1:7" x14ac:dyDescent="0.25">
      <c r="A270">
        <v>45</v>
      </c>
      <c r="B270" t="s">
        <v>10</v>
      </c>
      <c r="C270">
        <v>30.2</v>
      </c>
      <c r="D270">
        <v>1</v>
      </c>
      <c r="E270" t="s">
        <v>11</v>
      </c>
      <c r="F270" t="s">
        <v>9</v>
      </c>
      <c r="G270">
        <v>7441.0529999999999</v>
      </c>
    </row>
    <row r="271" spans="1:7" x14ac:dyDescent="0.25">
      <c r="A271">
        <v>49</v>
      </c>
      <c r="B271" t="s">
        <v>10</v>
      </c>
      <c r="C271">
        <v>25.84</v>
      </c>
      <c r="D271">
        <v>1</v>
      </c>
      <c r="E271" t="s">
        <v>11</v>
      </c>
      <c r="F271" t="s">
        <v>14</v>
      </c>
      <c r="G271">
        <v>9282.4806000000008</v>
      </c>
    </row>
    <row r="272" spans="1:7" x14ac:dyDescent="0.25">
      <c r="A272">
        <v>18</v>
      </c>
      <c r="B272" t="s">
        <v>10</v>
      </c>
      <c r="C272">
        <v>29.37</v>
      </c>
      <c r="D272">
        <v>1</v>
      </c>
      <c r="E272" t="s">
        <v>11</v>
      </c>
      <c r="F272" t="s">
        <v>12</v>
      </c>
      <c r="G272">
        <v>1719.4363000000001</v>
      </c>
    </row>
    <row r="273" spans="1:7" x14ac:dyDescent="0.25">
      <c r="A273">
        <v>50</v>
      </c>
      <c r="B273" t="s">
        <v>10</v>
      </c>
      <c r="C273">
        <v>34.200000000000003</v>
      </c>
      <c r="D273">
        <v>2</v>
      </c>
      <c r="E273" t="s">
        <v>8</v>
      </c>
      <c r="F273" t="s">
        <v>9</v>
      </c>
      <c r="G273">
        <v>42856.838000000003</v>
      </c>
    </row>
    <row r="274" spans="1:7" x14ac:dyDescent="0.25">
      <c r="A274">
        <v>41</v>
      </c>
      <c r="B274" t="s">
        <v>10</v>
      </c>
      <c r="C274">
        <v>37.049999999999997</v>
      </c>
      <c r="D274">
        <v>2</v>
      </c>
      <c r="E274" t="s">
        <v>11</v>
      </c>
      <c r="F274" t="s">
        <v>13</v>
      </c>
      <c r="G274">
        <v>7265.7025000000003</v>
      </c>
    </row>
    <row r="275" spans="1:7" x14ac:dyDescent="0.25">
      <c r="A275">
        <v>50</v>
      </c>
      <c r="B275" t="s">
        <v>10</v>
      </c>
      <c r="C275">
        <v>27.454999999999998</v>
      </c>
      <c r="D275">
        <v>1</v>
      </c>
      <c r="E275" t="s">
        <v>11</v>
      </c>
      <c r="F275" t="s">
        <v>14</v>
      </c>
      <c r="G275">
        <v>9617.6624499999998</v>
      </c>
    </row>
    <row r="276" spans="1:7" x14ac:dyDescent="0.25">
      <c r="A276">
        <v>25</v>
      </c>
      <c r="B276" t="s">
        <v>10</v>
      </c>
      <c r="C276">
        <v>27.55</v>
      </c>
      <c r="D276">
        <v>0</v>
      </c>
      <c r="E276" t="s">
        <v>11</v>
      </c>
      <c r="F276" t="s">
        <v>13</v>
      </c>
      <c r="G276">
        <v>2523.1695</v>
      </c>
    </row>
    <row r="277" spans="1:7" x14ac:dyDescent="0.25">
      <c r="A277">
        <v>47</v>
      </c>
      <c r="B277" t="s">
        <v>7</v>
      </c>
      <c r="C277">
        <v>26.6</v>
      </c>
      <c r="D277">
        <v>2</v>
      </c>
      <c r="E277" t="s">
        <v>11</v>
      </c>
      <c r="F277" t="s">
        <v>14</v>
      </c>
      <c r="G277">
        <v>9715.8410000000003</v>
      </c>
    </row>
    <row r="278" spans="1:7" x14ac:dyDescent="0.25">
      <c r="A278">
        <v>19</v>
      </c>
      <c r="B278" t="s">
        <v>10</v>
      </c>
      <c r="C278">
        <v>20.614999999999998</v>
      </c>
      <c r="D278">
        <v>2</v>
      </c>
      <c r="E278" t="s">
        <v>11</v>
      </c>
      <c r="F278" t="s">
        <v>13</v>
      </c>
      <c r="G278">
        <v>2803.69785</v>
      </c>
    </row>
    <row r="279" spans="1:7" x14ac:dyDescent="0.25">
      <c r="A279">
        <v>22</v>
      </c>
      <c r="B279" t="s">
        <v>7</v>
      </c>
      <c r="C279">
        <v>24.3</v>
      </c>
      <c r="D279">
        <v>0</v>
      </c>
      <c r="E279" t="s">
        <v>11</v>
      </c>
      <c r="F279" t="s">
        <v>9</v>
      </c>
      <c r="G279">
        <v>2150.4690000000001</v>
      </c>
    </row>
    <row r="280" spans="1:7" x14ac:dyDescent="0.25">
      <c r="A280">
        <v>59</v>
      </c>
      <c r="B280" t="s">
        <v>10</v>
      </c>
      <c r="C280">
        <v>31.79</v>
      </c>
      <c r="D280">
        <v>2</v>
      </c>
      <c r="E280" t="s">
        <v>11</v>
      </c>
      <c r="F280" t="s">
        <v>12</v>
      </c>
      <c r="G280">
        <v>12928.7911</v>
      </c>
    </row>
    <row r="281" spans="1:7" x14ac:dyDescent="0.25">
      <c r="A281">
        <v>51</v>
      </c>
      <c r="B281" t="s">
        <v>7</v>
      </c>
      <c r="C281">
        <v>21.56</v>
      </c>
      <c r="D281">
        <v>1</v>
      </c>
      <c r="E281" t="s">
        <v>11</v>
      </c>
      <c r="F281" t="s">
        <v>12</v>
      </c>
      <c r="G281">
        <v>9855.1314000000002</v>
      </c>
    </row>
    <row r="282" spans="1:7" x14ac:dyDescent="0.25">
      <c r="A282">
        <v>40</v>
      </c>
      <c r="B282" t="s">
        <v>7</v>
      </c>
      <c r="C282">
        <v>28.12</v>
      </c>
      <c r="D282">
        <v>1</v>
      </c>
      <c r="E282" t="s">
        <v>8</v>
      </c>
      <c r="F282" t="s">
        <v>14</v>
      </c>
      <c r="G282">
        <v>22331.566800000001</v>
      </c>
    </row>
    <row r="283" spans="1:7" x14ac:dyDescent="0.25">
      <c r="A283">
        <v>54</v>
      </c>
      <c r="B283" t="s">
        <v>10</v>
      </c>
      <c r="C283">
        <v>40.564999999999998</v>
      </c>
      <c r="D283">
        <v>3</v>
      </c>
      <c r="E283" t="s">
        <v>8</v>
      </c>
      <c r="F283" t="s">
        <v>14</v>
      </c>
      <c r="G283">
        <v>48549.178350000002</v>
      </c>
    </row>
    <row r="284" spans="1:7" x14ac:dyDescent="0.25">
      <c r="A284">
        <v>30</v>
      </c>
      <c r="B284" t="s">
        <v>10</v>
      </c>
      <c r="C284">
        <v>27.645</v>
      </c>
      <c r="D284">
        <v>1</v>
      </c>
      <c r="E284" t="s">
        <v>11</v>
      </c>
      <c r="F284" t="s">
        <v>14</v>
      </c>
      <c r="G284">
        <v>4237.12655</v>
      </c>
    </row>
    <row r="285" spans="1:7" x14ac:dyDescent="0.25">
      <c r="A285">
        <v>55</v>
      </c>
      <c r="B285" t="s">
        <v>7</v>
      </c>
      <c r="C285">
        <v>32.395000000000003</v>
      </c>
      <c r="D285">
        <v>1</v>
      </c>
      <c r="E285" t="s">
        <v>11</v>
      </c>
      <c r="F285" t="s">
        <v>14</v>
      </c>
      <c r="G285">
        <v>11879.10405</v>
      </c>
    </row>
    <row r="286" spans="1:7" x14ac:dyDescent="0.25">
      <c r="A286">
        <v>52</v>
      </c>
      <c r="B286" t="s">
        <v>7</v>
      </c>
      <c r="C286">
        <v>31.2</v>
      </c>
      <c r="D286">
        <v>0</v>
      </c>
      <c r="E286" t="s">
        <v>11</v>
      </c>
      <c r="F286" t="s">
        <v>9</v>
      </c>
      <c r="G286">
        <v>9625.92</v>
      </c>
    </row>
    <row r="287" spans="1:7" x14ac:dyDescent="0.25">
      <c r="A287">
        <v>46</v>
      </c>
      <c r="B287" t="s">
        <v>10</v>
      </c>
      <c r="C287">
        <v>26.62</v>
      </c>
      <c r="D287">
        <v>1</v>
      </c>
      <c r="E287" t="s">
        <v>11</v>
      </c>
      <c r="F287" t="s">
        <v>12</v>
      </c>
      <c r="G287">
        <v>7742.1098000000002</v>
      </c>
    </row>
    <row r="288" spans="1:7" x14ac:dyDescent="0.25">
      <c r="A288">
        <v>46</v>
      </c>
      <c r="B288" t="s">
        <v>7</v>
      </c>
      <c r="C288">
        <v>48.07</v>
      </c>
      <c r="D288">
        <v>2</v>
      </c>
      <c r="E288" t="s">
        <v>11</v>
      </c>
      <c r="F288" t="s">
        <v>14</v>
      </c>
      <c r="G288">
        <v>9432.9253000000008</v>
      </c>
    </row>
    <row r="289" spans="1:7" x14ac:dyDescent="0.25">
      <c r="A289">
        <v>63</v>
      </c>
      <c r="B289" t="s">
        <v>7</v>
      </c>
      <c r="C289">
        <v>26.22</v>
      </c>
      <c r="D289">
        <v>0</v>
      </c>
      <c r="E289" t="s">
        <v>11</v>
      </c>
      <c r="F289" t="s">
        <v>13</v>
      </c>
      <c r="G289">
        <v>14256.192800000001</v>
      </c>
    </row>
    <row r="290" spans="1:7" x14ac:dyDescent="0.25">
      <c r="A290">
        <v>59</v>
      </c>
      <c r="B290" t="s">
        <v>7</v>
      </c>
      <c r="C290">
        <v>36.765000000000001</v>
      </c>
      <c r="D290">
        <v>1</v>
      </c>
      <c r="E290" t="s">
        <v>8</v>
      </c>
      <c r="F290" t="s">
        <v>14</v>
      </c>
      <c r="G290">
        <v>47896.79135</v>
      </c>
    </row>
    <row r="291" spans="1:7" x14ac:dyDescent="0.25">
      <c r="A291">
        <v>52</v>
      </c>
      <c r="B291" t="s">
        <v>10</v>
      </c>
      <c r="C291">
        <v>26.4</v>
      </c>
      <c r="D291">
        <v>3</v>
      </c>
      <c r="E291" t="s">
        <v>11</v>
      </c>
      <c r="F291" t="s">
        <v>12</v>
      </c>
      <c r="G291">
        <v>25992.821039999999</v>
      </c>
    </row>
    <row r="292" spans="1:7" x14ac:dyDescent="0.25">
      <c r="A292">
        <v>28</v>
      </c>
      <c r="B292" t="s">
        <v>7</v>
      </c>
      <c r="C292">
        <v>33.4</v>
      </c>
      <c r="D292">
        <v>0</v>
      </c>
      <c r="E292" t="s">
        <v>11</v>
      </c>
      <c r="F292" t="s">
        <v>9</v>
      </c>
      <c r="G292">
        <v>3172.018</v>
      </c>
    </row>
    <row r="293" spans="1:7" x14ac:dyDescent="0.25">
      <c r="A293">
        <v>29</v>
      </c>
      <c r="B293" t="s">
        <v>10</v>
      </c>
      <c r="C293">
        <v>29.64</v>
      </c>
      <c r="D293">
        <v>1</v>
      </c>
      <c r="E293" t="s">
        <v>11</v>
      </c>
      <c r="F293" t="s">
        <v>14</v>
      </c>
      <c r="G293">
        <v>20277.807509999999</v>
      </c>
    </row>
    <row r="294" spans="1:7" x14ac:dyDescent="0.25">
      <c r="A294">
        <v>25</v>
      </c>
      <c r="B294" t="s">
        <v>10</v>
      </c>
      <c r="C294">
        <v>45.54</v>
      </c>
      <c r="D294">
        <v>2</v>
      </c>
      <c r="E294" t="s">
        <v>8</v>
      </c>
      <c r="F294" t="s">
        <v>12</v>
      </c>
      <c r="G294">
        <v>42112.2356</v>
      </c>
    </row>
    <row r="295" spans="1:7" x14ac:dyDescent="0.25">
      <c r="A295">
        <v>22</v>
      </c>
      <c r="B295" t="s">
        <v>7</v>
      </c>
      <c r="C295">
        <v>28.82</v>
      </c>
      <c r="D295">
        <v>0</v>
      </c>
      <c r="E295" t="s">
        <v>11</v>
      </c>
      <c r="F295" t="s">
        <v>12</v>
      </c>
      <c r="G295">
        <v>2156.7518</v>
      </c>
    </row>
    <row r="296" spans="1:7" x14ac:dyDescent="0.25">
      <c r="A296">
        <v>25</v>
      </c>
      <c r="B296" t="s">
        <v>10</v>
      </c>
      <c r="C296">
        <v>26.8</v>
      </c>
      <c r="D296">
        <v>3</v>
      </c>
      <c r="E296" t="s">
        <v>11</v>
      </c>
      <c r="F296" t="s">
        <v>9</v>
      </c>
      <c r="G296">
        <v>3906.127</v>
      </c>
    </row>
    <row r="297" spans="1:7" x14ac:dyDescent="0.25">
      <c r="A297">
        <v>18</v>
      </c>
      <c r="B297" t="s">
        <v>10</v>
      </c>
      <c r="C297">
        <v>22.99</v>
      </c>
      <c r="D297">
        <v>0</v>
      </c>
      <c r="E297" t="s">
        <v>11</v>
      </c>
      <c r="F297" t="s">
        <v>14</v>
      </c>
      <c r="G297">
        <v>1704.5681</v>
      </c>
    </row>
    <row r="298" spans="1:7" x14ac:dyDescent="0.25">
      <c r="A298">
        <v>19</v>
      </c>
      <c r="B298" t="s">
        <v>10</v>
      </c>
      <c r="C298">
        <v>27.7</v>
      </c>
      <c r="D298">
        <v>0</v>
      </c>
      <c r="E298" t="s">
        <v>8</v>
      </c>
      <c r="F298" t="s">
        <v>9</v>
      </c>
      <c r="G298">
        <v>16297.846</v>
      </c>
    </row>
    <row r="299" spans="1:7" x14ac:dyDescent="0.25">
      <c r="A299">
        <v>47</v>
      </c>
      <c r="B299" t="s">
        <v>10</v>
      </c>
      <c r="C299">
        <v>25.41</v>
      </c>
      <c r="D299">
        <v>1</v>
      </c>
      <c r="E299" t="s">
        <v>8</v>
      </c>
      <c r="F299" t="s">
        <v>12</v>
      </c>
      <c r="G299">
        <v>21978.676899999999</v>
      </c>
    </row>
    <row r="300" spans="1:7" x14ac:dyDescent="0.25">
      <c r="A300">
        <v>31</v>
      </c>
      <c r="B300" t="s">
        <v>10</v>
      </c>
      <c r="C300">
        <v>34.39</v>
      </c>
      <c r="D300">
        <v>3</v>
      </c>
      <c r="E300" t="s">
        <v>8</v>
      </c>
      <c r="F300" t="s">
        <v>13</v>
      </c>
      <c r="G300">
        <v>38746.355100000001</v>
      </c>
    </row>
    <row r="301" spans="1:7" x14ac:dyDescent="0.25">
      <c r="A301">
        <v>48</v>
      </c>
      <c r="B301" t="s">
        <v>7</v>
      </c>
      <c r="C301">
        <v>28.88</v>
      </c>
      <c r="D301">
        <v>1</v>
      </c>
      <c r="E301" t="s">
        <v>11</v>
      </c>
      <c r="F301" t="s">
        <v>13</v>
      </c>
      <c r="G301">
        <v>9249.4951999999994</v>
      </c>
    </row>
    <row r="302" spans="1:7" x14ac:dyDescent="0.25">
      <c r="A302">
        <v>36</v>
      </c>
      <c r="B302" t="s">
        <v>10</v>
      </c>
      <c r="C302">
        <v>27.55</v>
      </c>
      <c r="D302">
        <v>3</v>
      </c>
      <c r="E302" t="s">
        <v>11</v>
      </c>
      <c r="F302" t="s">
        <v>14</v>
      </c>
      <c r="G302">
        <v>6746.7425000000003</v>
      </c>
    </row>
    <row r="303" spans="1:7" x14ac:dyDescent="0.25">
      <c r="A303">
        <v>53</v>
      </c>
      <c r="B303" t="s">
        <v>7</v>
      </c>
      <c r="C303">
        <v>22.61</v>
      </c>
      <c r="D303">
        <v>3</v>
      </c>
      <c r="E303" t="s">
        <v>8</v>
      </c>
      <c r="F303" t="s">
        <v>14</v>
      </c>
      <c r="G303">
        <v>24873.384900000001</v>
      </c>
    </row>
    <row r="304" spans="1:7" x14ac:dyDescent="0.25">
      <c r="A304">
        <v>56</v>
      </c>
      <c r="B304" t="s">
        <v>7</v>
      </c>
      <c r="C304">
        <v>37.51</v>
      </c>
      <c r="D304">
        <v>2</v>
      </c>
      <c r="E304" t="s">
        <v>11</v>
      </c>
      <c r="F304" t="s">
        <v>12</v>
      </c>
      <c r="G304">
        <v>12265.5069</v>
      </c>
    </row>
    <row r="305" spans="1:7" x14ac:dyDescent="0.25">
      <c r="A305">
        <v>28</v>
      </c>
      <c r="B305" t="s">
        <v>7</v>
      </c>
      <c r="C305">
        <v>33</v>
      </c>
      <c r="D305">
        <v>2</v>
      </c>
      <c r="E305" t="s">
        <v>11</v>
      </c>
      <c r="F305" t="s">
        <v>12</v>
      </c>
      <c r="G305">
        <v>4349.4620000000004</v>
      </c>
    </row>
    <row r="306" spans="1:7" x14ac:dyDescent="0.25">
      <c r="A306">
        <v>57</v>
      </c>
      <c r="B306" t="s">
        <v>7</v>
      </c>
      <c r="C306">
        <v>38</v>
      </c>
      <c r="D306">
        <v>2</v>
      </c>
      <c r="E306" t="s">
        <v>11</v>
      </c>
      <c r="F306" t="s">
        <v>9</v>
      </c>
      <c r="G306">
        <v>12646.207</v>
      </c>
    </row>
    <row r="307" spans="1:7" x14ac:dyDescent="0.25">
      <c r="A307">
        <v>29</v>
      </c>
      <c r="B307" t="s">
        <v>10</v>
      </c>
      <c r="C307">
        <v>33.344999999999999</v>
      </c>
      <c r="D307">
        <v>2</v>
      </c>
      <c r="E307" t="s">
        <v>11</v>
      </c>
      <c r="F307" t="s">
        <v>13</v>
      </c>
      <c r="G307">
        <v>19442.353500000001</v>
      </c>
    </row>
    <row r="308" spans="1:7" x14ac:dyDescent="0.25">
      <c r="A308">
        <v>28</v>
      </c>
      <c r="B308" t="s">
        <v>7</v>
      </c>
      <c r="C308">
        <v>27.5</v>
      </c>
      <c r="D308">
        <v>2</v>
      </c>
      <c r="E308" t="s">
        <v>11</v>
      </c>
      <c r="F308" t="s">
        <v>9</v>
      </c>
      <c r="G308">
        <v>20177.671129999999</v>
      </c>
    </row>
    <row r="309" spans="1:7" x14ac:dyDescent="0.25">
      <c r="A309">
        <v>30</v>
      </c>
      <c r="B309" t="s">
        <v>7</v>
      </c>
      <c r="C309">
        <v>33.33</v>
      </c>
      <c r="D309">
        <v>1</v>
      </c>
      <c r="E309" t="s">
        <v>11</v>
      </c>
      <c r="F309" t="s">
        <v>12</v>
      </c>
      <c r="G309">
        <v>4151.0286999999998</v>
      </c>
    </row>
    <row r="310" spans="1:7" x14ac:dyDescent="0.25">
      <c r="A310">
        <v>58</v>
      </c>
      <c r="B310" t="s">
        <v>10</v>
      </c>
      <c r="C310">
        <v>34.865000000000002</v>
      </c>
      <c r="D310">
        <v>0</v>
      </c>
      <c r="E310" t="s">
        <v>11</v>
      </c>
      <c r="F310" t="s">
        <v>14</v>
      </c>
      <c r="G310">
        <v>11944.594349999999</v>
      </c>
    </row>
    <row r="311" spans="1:7" x14ac:dyDescent="0.25">
      <c r="A311">
        <v>41</v>
      </c>
      <c r="B311" t="s">
        <v>7</v>
      </c>
      <c r="C311">
        <v>33.06</v>
      </c>
      <c r="D311">
        <v>2</v>
      </c>
      <c r="E311" t="s">
        <v>11</v>
      </c>
      <c r="F311" t="s">
        <v>13</v>
      </c>
      <c r="G311">
        <v>7749.1563999999998</v>
      </c>
    </row>
    <row r="312" spans="1:7" x14ac:dyDescent="0.25">
      <c r="A312">
        <v>50</v>
      </c>
      <c r="B312" t="s">
        <v>10</v>
      </c>
      <c r="C312">
        <v>26.6</v>
      </c>
      <c r="D312">
        <v>0</v>
      </c>
      <c r="E312" t="s">
        <v>11</v>
      </c>
      <c r="F312" t="s">
        <v>9</v>
      </c>
      <c r="G312">
        <v>8444.4740000000002</v>
      </c>
    </row>
    <row r="313" spans="1:7" x14ac:dyDescent="0.25">
      <c r="A313">
        <v>19</v>
      </c>
      <c r="B313" t="s">
        <v>7</v>
      </c>
      <c r="C313">
        <v>24.7</v>
      </c>
      <c r="D313">
        <v>0</v>
      </c>
      <c r="E313" t="s">
        <v>11</v>
      </c>
      <c r="F313" t="s">
        <v>9</v>
      </c>
      <c r="G313">
        <v>1737.376</v>
      </c>
    </row>
    <row r="314" spans="1:7" x14ac:dyDescent="0.25">
      <c r="A314">
        <v>43</v>
      </c>
      <c r="B314" t="s">
        <v>10</v>
      </c>
      <c r="C314">
        <v>35.97</v>
      </c>
      <c r="D314">
        <v>3</v>
      </c>
      <c r="E314" t="s">
        <v>8</v>
      </c>
      <c r="F314" t="s">
        <v>12</v>
      </c>
      <c r="G314">
        <v>42124.515299999999</v>
      </c>
    </row>
    <row r="315" spans="1:7" x14ac:dyDescent="0.25">
      <c r="A315">
        <v>49</v>
      </c>
      <c r="B315" t="s">
        <v>10</v>
      </c>
      <c r="C315">
        <v>35.86</v>
      </c>
      <c r="D315">
        <v>0</v>
      </c>
      <c r="E315" t="s">
        <v>11</v>
      </c>
      <c r="F315" t="s">
        <v>12</v>
      </c>
      <c r="G315">
        <v>8124.4084000000003</v>
      </c>
    </row>
    <row r="316" spans="1:7" x14ac:dyDescent="0.25">
      <c r="A316">
        <v>27</v>
      </c>
      <c r="B316" t="s">
        <v>7</v>
      </c>
      <c r="C316">
        <v>31.4</v>
      </c>
      <c r="D316">
        <v>0</v>
      </c>
      <c r="E316" t="s">
        <v>8</v>
      </c>
      <c r="F316" t="s">
        <v>9</v>
      </c>
      <c r="G316">
        <v>34838.873</v>
      </c>
    </row>
    <row r="317" spans="1:7" x14ac:dyDescent="0.25">
      <c r="A317">
        <v>52</v>
      </c>
      <c r="B317" t="s">
        <v>10</v>
      </c>
      <c r="C317">
        <v>33.25</v>
      </c>
      <c r="D317">
        <v>0</v>
      </c>
      <c r="E317" t="s">
        <v>11</v>
      </c>
      <c r="F317" t="s">
        <v>14</v>
      </c>
      <c r="G317">
        <v>9722.7695000000003</v>
      </c>
    </row>
    <row r="318" spans="1:7" x14ac:dyDescent="0.25">
      <c r="A318">
        <v>50</v>
      </c>
      <c r="B318" t="s">
        <v>10</v>
      </c>
      <c r="C318">
        <v>32.204999999999998</v>
      </c>
      <c r="D318">
        <v>0</v>
      </c>
      <c r="E318" t="s">
        <v>11</v>
      </c>
      <c r="F318" t="s">
        <v>13</v>
      </c>
      <c r="G318">
        <v>8835.2649500000007</v>
      </c>
    </row>
    <row r="319" spans="1:7" x14ac:dyDescent="0.25">
      <c r="A319">
        <v>54</v>
      </c>
      <c r="B319" t="s">
        <v>10</v>
      </c>
      <c r="C319">
        <v>32.774999999999999</v>
      </c>
      <c r="D319">
        <v>0</v>
      </c>
      <c r="E319" t="s">
        <v>11</v>
      </c>
      <c r="F319" t="s">
        <v>14</v>
      </c>
      <c r="G319">
        <v>10435.06525</v>
      </c>
    </row>
    <row r="320" spans="1:7" x14ac:dyDescent="0.25">
      <c r="A320">
        <v>44</v>
      </c>
      <c r="B320" t="s">
        <v>7</v>
      </c>
      <c r="C320">
        <v>27.645</v>
      </c>
      <c r="D320">
        <v>0</v>
      </c>
      <c r="E320" t="s">
        <v>11</v>
      </c>
      <c r="F320" t="s">
        <v>13</v>
      </c>
      <c r="G320">
        <v>7421.1945500000002</v>
      </c>
    </row>
    <row r="321" spans="1:7" x14ac:dyDescent="0.25">
      <c r="A321">
        <v>32</v>
      </c>
      <c r="B321" t="s">
        <v>10</v>
      </c>
      <c r="C321">
        <v>37.335000000000001</v>
      </c>
      <c r="D321">
        <v>1</v>
      </c>
      <c r="E321" t="s">
        <v>11</v>
      </c>
      <c r="F321" t="s">
        <v>14</v>
      </c>
      <c r="G321">
        <v>4667.6076499999999</v>
      </c>
    </row>
    <row r="322" spans="1:7" x14ac:dyDescent="0.25">
      <c r="A322">
        <v>34</v>
      </c>
      <c r="B322" t="s">
        <v>10</v>
      </c>
      <c r="C322">
        <v>25.27</v>
      </c>
      <c r="D322">
        <v>1</v>
      </c>
      <c r="E322" t="s">
        <v>11</v>
      </c>
      <c r="F322" t="s">
        <v>13</v>
      </c>
      <c r="G322">
        <v>4894.7533000000003</v>
      </c>
    </row>
    <row r="323" spans="1:7" x14ac:dyDescent="0.25">
      <c r="A323">
        <v>26</v>
      </c>
      <c r="B323" t="s">
        <v>7</v>
      </c>
      <c r="C323">
        <v>29.64</v>
      </c>
      <c r="D323">
        <v>4</v>
      </c>
      <c r="E323" t="s">
        <v>11</v>
      </c>
      <c r="F323" t="s">
        <v>14</v>
      </c>
      <c r="G323">
        <v>24671.663339999999</v>
      </c>
    </row>
    <row r="324" spans="1:7" x14ac:dyDescent="0.25">
      <c r="A324">
        <v>34</v>
      </c>
      <c r="B324" t="s">
        <v>10</v>
      </c>
      <c r="C324">
        <v>30.8</v>
      </c>
      <c r="D324">
        <v>0</v>
      </c>
      <c r="E324" t="s">
        <v>8</v>
      </c>
      <c r="F324" t="s">
        <v>9</v>
      </c>
      <c r="G324">
        <v>35491.64</v>
      </c>
    </row>
    <row r="325" spans="1:7" x14ac:dyDescent="0.25">
      <c r="A325">
        <v>57</v>
      </c>
      <c r="B325" t="s">
        <v>10</v>
      </c>
      <c r="C325">
        <v>40.945</v>
      </c>
      <c r="D325">
        <v>0</v>
      </c>
      <c r="E325" t="s">
        <v>11</v>
      </c>
      <c r="F325" t="s">
        <v>14</v>
      </c>
      <c r="G325">
        <v>11566.30055</v>
      </c>
    </row>
    <row r="326" spans="1:7" x14ac:dyDescent="0.25">
      <c r="A326">
        <v>29</v>
      </c>
      <c r="B326" t="s">
        <v>10</v>
      </c>
      <c r="C326">
        <v>27.2</v>
      </c>
      <c r="D326">
        <v>0</v>
      </c>
      <c r="E326" t="s">
        <v>11</v>
      </c>
      <c r="F326" t="s">
        <v>9</v>
      </c>
      <c r="G326">
        <v>2866.0909999999999</v>
      </c>
    </row>
    <row r="327" spans="1:7" x14ac:dyDescent="0.25">
      <c r="A327">
        <v>40</v>
      </c>
      <c r="B327" t="s">
        <v>10</v>
      </c>
      <c r="C327">
        <v>34.104999999999997</v>
      </c>
      <c r="D327">
        <v>1</v>
      </c>
      <c r="E327" t="s">
        <v>11</v>
      </c>
      <c r="F327" t="s">
        <v>14</v>
      </c>
      <c r="G327">
        <v>6600.2059499999996</v>
      </c>
    </row>
    <row r="328" spans="1:7" x14ac:dyDescent="0.25">
      <c r="A328">
        <v>27</v>
      </c>
      <c r="B328" t="s">
        <v>7</v>
      </c>
      <c r="C328">
        <v>23.21</v>
      </c>
      <c r="D328">
        <v>1</v>
      </c>
      <c r="E328" t="s">
        <v>11</v>
      </c>
      <c r="F328" t="s">
        <v>12</v>
      </c>
      <c r="G328">
        <v>3561.8888999999999</v>
      </c>
    </row>
    <row r="329" spans="1:7" x14ac:dyDescent="0.25">
      <c r="A329">
        <v>45</v>
      </c>
      <c r="B329" t="s">
        <v>10</v>
      </c>
      <c r="C329">
        <v>36.479999999999997</v>
      </c>
      <c r="D329">
        <v>2</v>
      </c>
      <c r="E329" t="s">
        <v>8</v>
      </c>
      <c r="F329" t="s">
        <v>13</v>
      </c>
      <c r="G329">
        <v>42760.502200000003</v>
      </c>
    </row>
    <row r="330" spans="1:7" x14ac:dyDescent="0.25">
      <c r="A330">
        <v>64</v>
      </c>
      <c r="B330" t="s">
        <v>7</v>
      </c>
      <c r="C330">
        <v>33.799999999999997</v>
      </c>
      <c r="D330">
        <v>1</v>
      </c>
      <c r="E330" t="s">
        <v>8</v>
      </c>
      <c r="F330" t="s">
        <v>9</v>
      </c>
      <c r="G330">
        <v>47928.03</v>
      </c>
    </row>
    <row r="331" spans="1:7" x14ac:dyDescent="0.25">
      <c r="A331">
        <v>52</v>
      </c>
      <c r="B331" t="s">
        <v>10</v>
      </c>
      <c r="C331">
        <v>36.700000000000003</v>
      </c>
      <c r="D331">
        <v>0</v>
      </c>
      <c r="E331" t="s">
        <v>11</v>
      </c>
      <c r="F331" t="s">
        <v>9</v>
      </c>
      <c r="G331">
        <v>9144.5650000000005</v>
      </c>
    </row>
    <row r="332" spans="1:7" x14ac:dyDescent="0.25">
      <c r="A332">
        <v>61</v>
      </c>
      <c r="B332" t="s">
        <v>7</v>
      </c>
      <c r="C332">
        <v>36.384999999999998</v>
      </c>
      <c r="D332">
        <v>1</v>
      </c>
      <c r="E332" t="s">
        <v>8</v>
      </c>
      <c r="F332" t="s">
        <v>14</v>
      </c>
      <c r="G332">
        <v>48517.563150000002</v>
      </c>
    </row>
    <row r="333" spans="1:7" x14ac:dyDescent="0.25">
      <c r="A333">
        <v>52</v>
      </c>
      <c r="B333" t="s">
        <v>10</v>
      </c>
      <c r="C333">
        <v>27.36</v>
      </c>
      <c r="D333">
        <v>0</v>
      </c>
      <c r="E333" t="s">
        <v>8</v>
      </c>
      <c r="F333" t="s">
        <v>13</v>
      </c>
      <c r="G333">
        <v>24393.6224</v>
      </c>
    </row>
    <row r="334" spans="1:7" x14ac:dyDescent="0.25">
      <c r="A334">
        <v>61</v>
      </c>
      <c r="B334" t="s">
        <v>7</v>
      </c>
      <c r="C334">
        <v>31.16</v>
      </c>
      <c r="D334">
        <v>0</v>
      </c>
      <c r="E334" t="s">
        <v>11</v>
      </c>
      <c r="F334" t="s">
        <v>13</v>
      </c>
      <c r="G334">
        <v>13429.035400000001</v>
      </c>
    </row>
    <row r="335" spans="1:7" x14ac:dyDescent="0.25">
      <c r="A335">
        <v>56</v>
      </c>
      <c r="B335" t="s">
        <v>7</v>
      </c>
      <c r="C335">
        <v>28.785</v>
      </c>
      <c r="D335">
        <v>0</v>
      </c>
      <c r="E335" t="s">
        <v>11</v>
      </c>
      <c r="F335" t="s">
        <v>14</v>
      </c>
      <c r="G335">
        <v>11658.379150000001</v>
      </c>
    </row>
    <row r="336" spans="1:7" x14ac:dyDescent="0.25">
      <c r="A336">
        <v>43</v>
      </c>
      <c r="B336" t="s">
        <v>7</v>
      </c>
      <c r="C336">
        <v>35.72</v>
      </c>
      <c r="D336">
        <v>2</v>
      </c>
      <c r="E336" t="s">
        <v>11</v>
      </c>
      <c r="F336" t="s">
        <v>14</v>
      </c>
      <c r="G336">
        <v>19144.576519999999</v>
      </c>
    </row>
    <row r="337" spans="1:7" x14ac:dyDescent="0.25">
      <c r="A337">
        <v>64</v>
      </c>
      <c r="B337" t="s">
        <v>10</v>
      </c>
      <c r="C337">
        <v>34.5</v>
      </c>
      <c r="D337">
        <v>0</v>
      </c>
      <c r="E337" t="s">
        <v>11</v>
      </c>
      <c r="F337" t="s">
        <v>9</v>
      </c>
      <c r="G337">
        <v>13822.803</v>
      </c>
    </row>
    <row r="338" spans="1:7" x14ac:dyDescent="0.25">
      <c r="A338">
        <v>60</v>
      </c>
      <c r="B338" t="s">
        <v>10</v>
      </c>
      <c r="C338">
        <v>25.74</v>
      </c>
      <c r="D338">
        <v>0</v>
      </c>
      <c r="E338" t="s">
        <v>11</v>
      </c>
      <c r="F338" t="s">
        <v>12</v>
      </c>
      <c r="G338">
        <v>12142.578600000001</v>
      </c>
    </row>
    <row r="339" spans="1:7" x14ac:dyDescent="0.25">
      <c r="A339">
        <v>62</v>
      </c>
      <c r="B339" t="s">
        <v>10</v>
      </c>
      <c r="C339">
        <v>27.55</v>
      </c>
      <c r="D339">
        <v>1</v>
      </c>
      <c r="E339" t="s">
        <v>11</v>
      </c>
      <c r="F339" t="s">
        <v>13</v>
      </c>
      <c r="G339">
        <v>13937.666499999999</v>
      </c>
    </row>
    <row r="340" spans="1:7" x14ac:dyDescent="0.25">
      <c r="A340">
        <v>50</v>
      </c>
      <c r="B340" t="s">
        <v>10</v>
      </c>
      <c r="C340">
        <v>32.299999999999997</v>
      </c>
      <c r="D340">
        <v>1</v>
      </c>
      <c r="E340" t="s">
        <v>8</v>
      </c>
      <c r="F340" t="s">
        <v>14</v>
      </c>
      <c r="G340">
        <v>41919.097000000002</v>
      </c>
    </row>
    <row r="341" spans="1:7" x14ac:dyDescent="0.25">
      <c r="A341">
        <v>46</v>
      </c>
      <c r="B341" t="s">
        <v>7</v>
      </c>
      <c r="C341">
        <v>27.72</v>
      </c>
      <c r="D341">
        <v>1</v>
      </c>
      <c r="E341" t="s">
        <v>11</v>
      </c>
      <c r="F341" t="s">
        <v>12</v>
      </c>
      <c r="G341">
        <v>8232.6388000000006</v>
      </c>
    </row>
    <row r="342" spans="1:7" x14ac:dyDescent="0.25">
      <c r="A342">
        <v>24</v>
      </c>
      <c r="B342" t="s">
        <v>7</v>
      </c>
      <c r="C342">
        <v>27.6</v>
      </c>
      <c r="D342">
        <v>0</v>
      </c>
      <c r="E342" t="s">
        <v>11</v>
      </c>
      <c r="F342" t="s">
        <v>9</v>
      </c>
      <c r="G342">
        <v>18955.220170000001</v>
      </c>
    </row>
    <row r="343" spans="1:7" x14ac:dyDescent="0.25">
      <c r="A343">
        <v>62</v>
      </c>
      <c r="B343" t="s">
        <v>10</v>
      </c>
      <c r="C343">
        <v>30.02</v>
      </c>
      <c r="D343">
        <v>0</v>
      </c>
      <c r="E343" t="s">
        <v>11</v>
      </c>
      <c r="F343" t="s">
        <v>13</v>
      </c>
      <c r="G343">
        <v>13352.0998</v>
      </c>
    </row>
    <row r="344" spans="1:7" x14ac:dyDescent="0.25">
      <c r="A344">
        <v>60</v>
      </c>
      <c r="B344" t="s">
        <v>7</v>
      </c>
      <c r="C344">
        <v>27.55</v>
      </c>
      <c r="D344">
        <v>0</v>
      </c>
      <c r="E344" t="s">
        <v>11</v>
      </c>
      <c r="F344" t="s">
        <v>14</v>
      </c>
      <c r="G344">
        <v>13217.094499999999</v>
      </c>
    </row>
    <row r="345" spans="1:7" x14ac:dyDescent="0.25">
      <c r="A345">
        <v>63</v>
      </c>
      <c r="B345" t="s">
        <v>10</v>
      </c>
      <c r="C345">
        <v>36.765000000000001</v>
      </c>
      <c r="D345">
        <v>0</v>
      </c>
      <c r="E345" t="s">
        <v>11</v>
      </c>
      <c r="F345" t="s">
        <v>14</v>
      </c>
      <c r="G345">
        <v>13981.850350000001</v>
      </c>
    </row>
    <row r="346" spans="1:7" x14ac:dyDescent="0.25">
      <c r="A346">
        <v>49</v>
      </c>
      <c r="B346" t="s">
        <v>7</v>
      </c>
      <c r="C346">
        <v>41.47</v>
      </c>
      <c r="D346">
        <v>4</v>
      </c>
      <c r="E346" t="s">
        <v>11</v>
      </c>
      <c r="F346" t="s">
        <v>12</v>
      </c>
      <c r="G346">
        <v>10977.2063</v>
      </c>
    </row>
    <row r="347" spans="1:7" x14ac:dyDescent="0.25">
      <c r="A347">
        <v>34</v>
      </c>
      <c r="B347" t="s">
        <v>7</v>
      </c>
      <c r="C347">
        <v>29.26</v>
      </c>
      <c r="D347">
        <v>3</v>
      </c>
      <c r="E347" t="s">
        <v>11</v>
      </c>
      <c r="F347" t="s">
        <v>12</v>
      </c>
      <c r="G347">
        <v>6184.2993999999999</v>
      </c>
    </row>
    <row r="348" spans="1:7" x14ac:dyDescent="0.25">
      <c r="A348">
        <v>33</v>
      </c>
      <c r="B348" t="s">
        <v>10</v>
      </c>
      <c r="C348">
        <v>35.75</v>
      </c>
      <c r="D348">
        <v>2</v>
      </c>
      <c r="E348" t="s">
        <v>11</v>
      </c>
      <c r="F348" t="s">
        <v>12</v>
      </c>
      <c r="G348">
        <v>4889.9994999999999</v>
      </c>
    </row>
    <row r="349" spans="1:7" x14ac:dyDescent="0.25">
      <c r="A349">
        <v>46</v>
      </c>
      <c r="B349" t="s">
        <v>10</v>
      </c>
      <c r="C349">
        <v>33.344999999999999</v>
      </c>
      <c r="D349">
        <v>1</v>
      </c>
      <c r="E349" t="s">
        <v>11</v>
      </c>
      <c r="F349" t="s">
        <v>14</v>
      </c>
      <c r="G349">
        <v>8334.4575499999992</v>
      </c>
    </row>
    <row r="350" spans="1:7" x14ac:dyDescent="0.25">
      <c r="A350">
        <v>36</v>
      </c>
      <c r="B350" t="s">
        <v>7</v>
      </c>
      <c r="C350">
        <v>29.92</v>
      </c>
      <c r="D350">
        <v>1</v>
      </c>
      <c r="E350" t="s">
        <v>11</v>
      </c>
      <c r="F350" t="s">
        <v>12</v>
      </c>
      <c r="G350">
        <v>5478.0367999999999</v>
      </c>
    </row>
    <row r="351" spans="1:7" x14ac:dyDescent="0.25">
      <c r="A351">
        <v>19</v>
      </c>
      <c r="B351" t="s">
        <v>10</v>
      </c>
      <c r="C351">
        <v>27.835000000000001</v>
      </c>
      <c r="D351">
        <v>0</v>
      </c>
      <c r="E351" t="s">
        <v>11</v>
      </c>
      <c r="F351" t="s">
        <v>13</v>
      </c>
      <c r="G351">
        <v>1635.7336499999999</v>
      </c>
    </row>
    <row r="352" spans="1:7" x14ac:dyDescent="0.25">
      <c r="A352">
        <v>57</v>
      </c>
      <c r="B352" t="s">
        <v>7</v>
      </c>
      <c r="C352">
        <v>23.18</v>
      </c>
      <c r="D352">
        <v>0</v>
      </c>
      <c r="E352" t="s">
        <v>11</v>
      </c>
      <c r="F352" t="s">
        <v>13</v>
      </c>
      <c r="G352">
        <v>11830.6072</v>
      </c>
    </row>
    <row r="353" spans="1:7" x14ac:dyDescent="0.25">
      <c r="A353">
        <v>50</v>
      </c>
      <c r="B353" t="s">
        <v>7</v>
      </c>
      <c r="C353">
        <v>25.6</v>
      </c>
      <c r="D353">
        <v>0</v>
      </c>
      <c r="E353" t="s">
        <v>11</v>
      </c>
      <c r="F353" t="s">
        <v>9</v>
      </c>
      <c r="G353">
        <v>8932.0840000000007</v>
      </c>
    </row>
    <row r="354" spans="1:7" x14ac:dyDescent="0.25">
      <c r="A354">
        <v>30</v>
      </c>
      <c r="B354" t="s">
        <v>7</v>
      </c>
      <c r="C354">
        <v>27.7</v>
      </c>
      <c r="D354">
        <v>0</v>
      </c>
      <c r="E354" t="s">
        <v>11</v>
      </c>
      <c r="F354" t="s">
        <v>9</v>
      </c>
      <c r="G354">
        <v>3554.203</v>
      </c>
    </row>
    <row r="355" spans="1:7" x14ac:dyDescent="0.25">
      <c r="A355">
        <v>33</v>
      </c>
      <c r="B355" t="s">
        <v>10</v>
      </c>
      <c r="C355">
        <v>35.244999999999997</v>
      </c>
      <c r="D355">
        <v>0</v>
      </c>
      <c r="E355" t="s">
        <v>11</v>
      </c>
      <c r="F355" t="s">
        <v>14</v>
      </c>
      <c r="G355">
        <v>12404.8791</v>
      </c>
    </row>
    <row r="356" spans="1:7" x14ac:dyDescent="0.25">
      <c r="A356">
        <v>18</v>
      </c>
      <c r="B356" t="s">
        <v>7</v>
      </c>
      <c r="C356">
        <v>38.28</v>
      </c>
      <c r="D356">
        <v>0</v>
      </c>
      <c r="E356" t="s">
        <v>11</v>
      </c>
      <c r="F356" t="s">
        <v>12</v>
      </c>
      <c r="G356">
        <v>14133.03775</v>
      </c>
    </row>
    <row r="357" spans="1:7" x14ac:dyDescent="0.25">
      <c r="A357">
        <v>46</v>
      </c>
      <c r="B357" t="s">
        <v>10</v>
      </c>
      <c r="C357">
        <v>27.6</v>
      </c>
      <c r="D357">
        <v>0</v>
      </c>
      <c r="E357" t="s">
        <v>11</v>
      </c>
      <c r="F357" t="s">
        <v>9</v>
      </c>
      <c r="G357">
        <v>24603.04837</v>
      </c>
    </row>
    <row r="358" spans="1:7" x14ac:dyDescent="0.25">
      <c r="A358">
        <v>46</v>
      </c>
      <c r="B358" t="s">
        <v>10</v>
      </c>
      <c r="C358">
        <v>43.89</v>
      </c>
      <c r="D358">
        <v>3</v>
      </c>
      <c r="E358" t="s">
        <v>11</v>
      </c>
      <c r="F358" t="s">
        <v>12</v>
      </c>
      <c r="G358">
        <v>8944.1151000000009</v>
      </c>
    </row>
    <row r="359" spans="1:7" x14ac:dyDescent="0.25">
      <c r="A359">
        <v>47</v>
      </c>
      <c r="B359" t="s">
        <v>10</v>
      </c>
      <c r="C359">
        <v>29.83</v>
      </c>
      <c r="D359">
        <v>3</v>
      </c>
      <c r="E359" t="s">
        <v>11</v>
      </c>
      <c r="F359" t="s">
        <v>13</v>
      </c>
      <c r="G359">
        <v>9620.3307000000004</v>
      </c>
    </row>
    <row r="360" spans="1:7" x14ac:dyDescent="0.25">
      <c r="A360">
        <v>23</v>
      </c>
      <c r="B360" t="s">
        <v>10</v>
      </c>
      <c r="C360">
        <v>41.91</v>
      </c>
      <c r="D360">
        <v>0</v>
      </c>
      <c r="E360" t="s">
        <v>11</v>
      </c>
      <c r="F360" t="s">
        <v>12</v>
      </c>
      <c r="G360">
        <v>1837.2819</v>
      </c>
    </row>
    <row r="361" spans="1:7" x14ac:dyDescent="0.25">
      <c r="A361">
        <v>18</v>
      </c>
      <c r="B361" t="s">
        <v>7</v>
      </c>
      <c r="C361">
        <v>20.79</v>
      </c>
      <c r="D361">
        <v>0</v>
      </c>
      <c r="E361" t="s">
        <v>11</v>
      </c>
      <c r="F361" t="s">
        <v>12</v>
      </c>
      <c r="G361">
        <v>1607.5101</v>
      </c>
    </row>
    <row r="362" spans="1:7" x14ac:dyDescent="0.25">
      <c r="A362">
        <v>48</v>
      </c>
      <c r="B362" t="s">
        <v>7</v>
      </c>
      <c r="C362">
        <v>32.299999999999997</v>
      </c>
      <c r="D362">
        <v>2</v>
      </c>
      <c r="E362" t="s">
        <v>11</v>
      </c>
      <c r="F362" t="s">
        <v>14</v>
      </c>
      <c r="G362">
        <v>10043.249</v>
      </c>
    </row>
    <row r="363" spans="1:7" x14ac:dyDescent="0.25">
      <c r="A363">
        <v>35</v>
      </c>
      <c r="B363" t="s">
        <v>10</v>
      </c>
      <c r="C363">
        <v>30.5</v>
      </c>
      <c r="D363">
        <v>1</v>
      </c>
      <c r="E363" t="s">
        <v>11</v>
      </c>
      <c r="F363" t="s">
        <v>9</v>
      </c>
      <c r="G363">
        <v>4751.07</v>
      </c>
    </row>
    <row r="364" spans="1:7" x14ac:dyDescent="0.25">
      <c r="A364">
        <v>19</v>
      </c>
      <c r="B364" t="s">
        <v>7</v>
      </c>
      <c r="C364">
        <v>21.7</v>
      </c>
      <c r="D364">
        <v>0</v>
      </c>
      <c r="E364" t="s">
        <v>8</v>
      </c>
      <c r="F364" t="s">
        <v>9</v>
      </c>
      <c r="G364">
        <v>13844.505999999999</v>
      </c>
    </row>
    <row r="365" spans="1:7" x14ac:dyDescent="0.25">
      <c r="A365">
        <v>21</v>
      </c>
      <c r="B365" t="s">
        <v>7</v>
      </c>
      <c r="C365">
        <v>26.4</v>
      </c>
      <c r="D365">
        <v>1</v>
      </c>
      <c r="E365" t="s">
        <v>11</v>
      </c>
      <c r="F365" t="s">
        <v>9</v>
      </c>
      <c r="G365">
        <v>2597.779</v>
      </c>
    </row>
    <row r="366" spans="1:7" x14ac:dyDescent="0.25">
      <c r="A366">
        <v>21</v>
      </c>
      <c r="B366" t="s">
        <v>7</v>
      </c>
      <c r="C366">
        <v>21.89</v>
      </c>
      <c r="D366">
        <v>2</v>
      </c>
      <c r="E366" t="s">
        <v>11</v>
      </c>
      <c r="F366" t="s">
        <v>12</v>
      </c>
      <c r="G366">
        <v>3180.5101</v>
      </c>
    </row>
    <row r="367" spans="1:7" x14ac:dyDescent="0.25">
      <c r="A367">
        <v>49</v>
      </c>
      <c r="B367" t="s">
        <v>7</v>
      </c>
      <c r="C367">
        <v>30.78</v>
      </c>
      <c r="D367">
        <v>1</v>
      </c>
      <c r="E367" t="s">
        <v>11</v>
      </c>
      <c r="F367" t="s">
        <v>14</v>
      </c>
      <c r="G367">
        <v>9778.3472000000002</v>
      </c>
    </row>
    <row r="368" spans="1:7" x14ac:dyDescent="0.25">
      <c r="A368">
        <v>56</v>
      </c>
      <c r="B368" t="s">
        <v>7</v>
      </c>
      <c r="C368">
        <v>32.299999999999997</v>
      </c>
      <c r="D368">
        <v>3</v>
      </c>
      <c r="E368" t="s">
        <v>11</v>
      </c>
      <c r="F368" t="s">
        <v>14</v>
      </c>
      <c r="G368">
        <v>13430.264999999999</v>
      </c>
    </row>
    <row r="369" spans="1:7" x14ac:dyDescent="0.25">
      <c r="A369">
        <v>42</v>
      </c>
      <c r="B369" t="s">
        <v>7</v>
      </c>
      <c r="C369">
        <v>24.984999999999999</v>
      </c>
      <c r="D369">
        <v>2</v>
      </c>
      <c r="E369" t="s">
        <v>11</v>
      </c>
      <c r="F369" t="s">
        <v>13</v>
      </c>
      <c r="G369">
        <v>8017.0611500000005</v>
      </c>
    </row>
    <row r="370" spans="1:7" x14ac:dyDescent="0.25">
      <c r="A370">
        <v>44</v>
      </c>
      <c r="B370" t="s">
        <v>10</v>
      </c>
      <c r="C370">
        <v>32.015000000000001</v>
      </c>
      <c r="D370">
        <v>2</v>
      </c>
      <c r="E370" t="s">
        <v>11</v>
      </c>
      <c r="F370" t="s">
        <v>13</v>
      </c>
      <c r="G370">
        <v>8116.2688500000004</v>
      </c>
    </row>
    <row r="371" spans="1:7" x14ac:dyDescent="0.25">
      <c r="A371">
        <v>18</v>
      </c>
      <c r="B371" t="s">
        <v>10</v>
      </c>
      <c r="C371">
        <v>30.4</v>
      </c>
      <c r="D371">
        <v>3</v>
      </c>
      <c r="E371" t="s">
        <v>11</v>
      </c>
      <c r="F371" t="s">
        <v>14</v>
      </c>
      <c r="G371">
        <v>3481.8679999999999</v>
      </c>
    </row>
    <row r="372" spans="1:7" x14ac:dyDescent="0.25">
      <c r="A372">
        <v>61</v>
      </c>
      <c r="B372" t="s">
        <v>7</v>
      </c>
      <c r="C372">
        <v>21.09</v>
      </c>
      <c r="D372">
        <v>0</v>
      </c>
      <c r="E372" t="s">
        <v>11</v>
      </c>
      <c r="F372" t="s">
        <v>13</v>
      </c>
      <c r="G372">
        <v>13415.0381</v>
      </c>
    </row>
    <row r="373" spans="1:7" x14ac:dyDescent="0.25">
      <c r="A373">
        <v>57</v>
      </c>
      <c r="B373" t="s">
        <v>7</v>
      </c>
      <c r="C373">
        <v>22.23</v>
      </c>
      <c r="D373">
        <v>0</v>
      </c>
      <c r="E373" t="s">
        <v>11</v>
      </c>
      <c r="F373" t="s">
        <v>14</v>
      </c>
      <c r="G373">
        <v>12029.286700000001</v>
      </c>
    </row>
    <row r="374" spans="1:7" x14ac:dyDescent="0.25">
      <c r="A374">
        <v>42</v>
      </c>
      <c r="B374" t="s">
        <v>7</v>
      </c>
      <c r="C374">
        <v>33.155000000000001</v>
      </c>
      <c r="D374">
        <v>1</v>
      </c>
      <c r="E374" t="s">
        <v>11</v>
      </c>
      <c r="F374" t="s">
        <v>14</v>
      </c>
      <c r="G374">
        <v>7639.4174499999999</v>
      </c>
    </row>
    <row r="375" spans="1:7" x14ac:dyDescent="0.25">
      <c r="A375">
        <v>26</v>
      </c>
      <c r="B375" t="s">
        <v>10</v>
      </c>
      <c r="C375">
        <v>32.9</v>
      </c>
      <c r="D375">
        <v>2</v>
      </c>
      <c r="E375" t="s">
        <v>8</v>
      </c>
      <c r="F375" t="s">
        <v>9</v>
      </c>
      <c r="G375">
        <v>36085.218999999997</v>
      </c>
    </row>
    <row r="376" spans="1:7" x14ac:dyDescent="0.25">
      <c r="A376">
        <v>20</v>
      </c>
      <c r="B376" t="s">
        <v>10</v>
      </c>
      <c r="C376">
        <v>33.33</v>
      </c>
      <c r="D376">
        <v>0</v>
      </c>
      <c r="E376" t="s">
        <v>11</v>
      </c>
      <c r="F376" t="s">
        <v>12</v>
      </c>
      <c r="G376">
        <v>1391.5287000000001</v>
      </c>
    </row>
    <row r="377" spans="1:7" x14ac:dyDescent="0.25">
      <c r="A377">
        <v>23</v>
      </c>
      <c r="B377" t="s">
        <v>7</v>
      </c>
      <c r="C377">
        <v>28.31</v>
      </c>
      <c r="D377">
        <v>0</v>
      </c>
      <c r="E377" t="s">
        <v>8</v>
      </c>
      <c r="F377" t="s">
        <v>13</v>
      </c>
      <c r="G377">
        <v>18033.9679</v>
      </c>
    </row>
    <row r="378" spans="1:7" x14ac:dyDescent="0.25">
      <c r="A378">
        <v>39</v>
      </c>
      <c r="B378" t="s">
        <v>7</v>
      </c>
      <c r="C378">
        <v>24.89</v>
      </c>
      <c r="D378">
        <v>3</v>
      </c>
      <c r="E378" t="s">
        <v>8</v>
      </c>
      <c r="F378" t="s">
        <v>14</v>
      </c>
      <c r="G378">
        <v>21659.930100000001</v>
      </c>
    </row>
    <row r="379" spans="1:7" x14ac:dyDescent="0.25">
      <c r="A379">
        <v>24</v>
      </c>
      <c r="B379" t="s">
        <v>10</v>
      </c>
      <c r="C379">
        <v>40.15</v>
      </c>
      <c r="D379">
        <v>0</v>
      </c>
      <c r="E379" t="s">
        <v>8</v>
      </c>
      <c r="F379" t="s">
        <v>12</v>
      </c>
      <c r="G379">
        <v>38126.246500000001</v>
      </c>
    </row>
    <row r="380" spans="1:7" x14ac:dyDescent="0.25">
      <c r="A380">
        <v>64</v>
      </c>
      <c r="B380" t="s">
        <v>7</v>
      </c>
      <c r="C380">
        <v>30.114999999999998</v>
      </c>
      <c r="D380">
        <v>3</v>
      </c>
      <c r="E380" t="s">
        <v>11</v>
      </c>
      <c r="F380" t="s">
        <v>13</v>
      </c>
      <c r="G380">
        <v>16455.707849999999</v>
      </c>
    </row>
    <row r="381" spans="1:7" x14ac:dyDescent="0.25">
      <c r="A381">
        <v>62</v>
      </c>
      <c r="B381" t="s">
        <v>10</v>
      </c>
      <c r="C381">
        <v>31.46</v>
      </c>
      <c r="D381">
        <v>1</v>
      </c>
      <c r="E381" t="s">
        <v>11</v>
      </c>
      <c r="F381" t="s">
        <v>12</v>
      </c>
      <c r="G381">
        <v>27000.98473</v>
      </c>
    </row>
    <row r="382" spans="1:7" x14ac:dyDescent="0.25">
      <c r="A382">
        <v>27</v>
      </c>
      <c r="B382" t="s">
        <v>7</v>
      </c>
      <c r="C382">
        <v>17.954999999999998</v>
      </c>
      <c r="D382">
        <v>2</v>
      </c>
      <c r="E382" t="s">
        <v>8</v>
      </c>
      <c r="F382" t="s">
        <v>14</v>
      </c>
      <c r="G382">
        <v>15006.579449999999</v>
      </c>
    </row>
    <row r="383" spans="1:7" x14ac:dyDescent="0.25">
      <c r="A383">
        <v>55</v>
      </c>
      <c r="B383" t="s">
        <v>10</v>
      </c>
      <c r="C383">
        <v>30.684999999999999</v>
      </c>
      <c r="D383">
        <v>0</v>
      </c>
      <c r="E383" t="s">
        <v>8</v>
      </c>
      <c r="F383" t="s">
        <v>14</v>
      </c>
      <c r="G383">
        <v>42303.692150000003</v>
      </c>
    </row>
    <row r="384" spans="1:7" x14ac:dyDescent="0.25">
      <c r="A384">
        <v>55</v>
      </c>
      <c r="B384" t="s">
        <v>10</v>
      </c>
      <c r="C384">
        <v>33</v>
      </c>
      <c r="D384">
        <v>0</v>
      </c>
      <c r="E384" t="s">
        <v>11</v>
      </c>
      <c r="F384" t="s">
        <v>12</v>
      </c>
      <c r="G384">
        <v>20781.48892</v>
      </c>
    </row>
    <row r="385" spans="1:7" x14ac:dyDescent="0.25">
      <c r="A385">
        <v>35</v>
      </c>
      <c r="B385" t="s">
        <v>7</v>
      </c>
      <c r="C385">
        <v>43.34</v>
      </c>
      <c r="D385">
        <v>2</v>
      </c>
      <c r="E385" t="s">
        <v>11</v>
      </c>
      <c r="F385" t="s">
        <v>12</v>
      </c>
      <c r="G385">
        <v>5846.9175999999998</v>
      </c>
    </row>
    <row r="386" spans="1:7" x14ac:dyDescent="0.25">
      <c r="A386">
        <v>44</v>
      </c>
      <c r="B386" t="s">
        <v>10</v>
      </c>
      <c r="C386">
        <v>22.135000000000002</v>
      </c>
      <c r="D386">
        <v>2</v>
      </c>
      <c r="E386" t="s">
        <v>11</v>
      </c>
      <c r="F386" t="s">
        <v>14</v>
      </c>
      <c r="G386">
        <v>8302.5356499999998</v>
      </c>
    </row>
    <row r="387" spans="1:7" x14ac:dyDescent="0.25">
      <c r="A387">
        <v>19</v>
      </c>
      <c r="B387" t="s">
        <v>10</v>
      </c>
      <c r="C387">
        <v>34.4</v>
      </c>
      <c r="D387">
        <v>0</v>
      </c>
      <c r="E387" t="s">
        <v>11</v>
      </c>
      <c r="F387" t="s">
        <v>9</v>
      </c>
      <c r="G387">
        <v>1261.8589999999999</v>
      </c>
    </row>
    <row r="388" spans="1:7" x14ac:dyDescent="0.25">
      <c r="A388">
        <v>58</v>
      </c>
      <c r="B388" t="s">
        <v>7</v>
      </c>
      <c r="C388">
        <v>39.049999999999997</v>
      </c>
      <c r="D388">
        <v>0</v>
      </c>
      <c r="E388" t="s">
        <v>11</v>
      </c>
      <c r="F388" t="s">
        <v>12</v>
      </c>
      <c r="G388">
        <v>11856.4115</v>
      </c>
    </row>
    <row r="389" spans="1:7" x14ac:dyDescent="0.25">
      <c r="A389">
        <v>50</v>
      </c>
      <c r="B389" t="s">
        <v>10</v>
      </c>
      <c r="C389">
        <v>25.364999999999998</v>
      </c>
      <c r="D389">
        <v>2</v>
      </c>
      <c r="E389" t="s">
        <v>11</v>
      </c>
      <c r="F389" t="s">
        <v>13</v>
      </c>
      <c r="G389">
        <v>30284.642940000002</v>
      </c>
    </row>
    <row r="390" spans="1:7" x14ac:dyDescent="0.25">
      <c r="A390">
        <v>26</v>
      </c>
      <c r="B390" t="s">
        <v>7</v>
      </c>
      <c r="C390">
        <v>22.61</v>
      </c>
      <c r="D390">
        <v>0</v>
      </c>
      <c r="E390" t="s">
        <v>11</v>
      </c>
      <c r="F390" t="s">
        <v>13</v>
      </c>
      <c r="G390">
        <v>3176.8159000000001</v>
      </c>
    </row>
    <row r="391" spans="1:7" x14ac:dyDescent="0.25">
      <c r="A391">
        <v>24</v>
      </c>
      <c r="B391" t="s">
        <v>7</v>
      </c>
      <c r="C391">
        <v>30.21</v>
      </c>
      <c r="D391">
        <v>3</v>
      </c>
      <c r="E391" t="s">
        <v>11</v>
      </c>
      <c r="F391" t="s">
        <v>13</v>
      </c>
      <c r="G391">
        <v>4618.0798999999997</v>
      </c>
    </row>
    <row r="392" spans="1:7" x14ac:dyDescent="0.25">
      <c r="A392">
        <v>48</v>
      </c>
      <c r="B392" t="s">
        <v>10</v>
      </c>
      <c r="C392">
        <v>35.625</v>
      </c>
      <c r="D392">
        <v>4</v>
      </c>
      <c r="E392" t="s">
        <v>11</v>
      </c>
      <c r="F392" t="s">
        <v>14</v>
      </c>
      <c r="G392">
        <v>10736.87075</v>
      </c>
    </row>
    <row r="393" spans="1:7" x14ac:dyDescent="0.25">
      <c r="A393">
        <v>19</v>
      </c>
      <c r="B393" t="s">
        <v>7</v>
      </c>
      <c r="C393">
        <v>37.43</v>
      </c>
      <c r="D393">
        <v>0</v>
      </c>
      <c r="E393" t="s">
        <v>11</v>
      </c>
      <c r="F393" t="s">
        <v>13</v>
      </c>
      <c r="G393">
        <v>2138.0707000000002</v>
      </c>
    </row>
    <row r="394" spans="1:7" x14ac:dyDescent="0.25">
      <c r="A394">
        <v>48</v>
      </c>
      <c r="B394" t="s">
        <v>10</v>
      </c>
      <c r="C394">
        <v>31.445</v>
      </c>
      <c r="D394">
        <v>1</v>
      </c>
      <c r="E394" t="s">
        <v>11</v>
      </c>
      <c r="F394" t="s">
        <v>14</v>
      </c>
      <c r="G394">
        <v>8964.0605500000001</v>
      </c>
    </row>
    <row r="395" spans="1:7" x14ac:dyDescent="0.25">
      <c r="A395">
        <v>49</v>
      </c>
      <c r="B395" t="s">
        <v>10</v>
      </c>
      <c r="C395">
        <v>31.35</v>
      </c>
      <c r="D395">
        <v>1</v>
      </c>
      <c r="E395" t="s">
        <v>11</v>
      </c>
      <c r="F395" t="s">
        <v>14</v>
      </c>
      <c r="G395">
        <v>9290.1394999999993</v>
      </c>
    </row>
    <row r="396" spans="1:7" x14ac:dyDescent="0.25">
      <c r="A396">
        <v>46</v>
      </c>
      <c r="B396" t="s">
        <v>7</v>
      </c>
      <c r="C396">
        <v>32.299999999999997</v>
      </c>
      <c r="D396">
        <v>2</v>
      </c>
      <c r="E396" t="s">
        <v>11</v>
      </c>
      <c r="F396" t="s">
        <v>14</v>
      </c>
      <c r="G396">
        <v>9411.0049999999992</v>
      </c>
    </row>
    <row r="397" spans="1:7" x14ac:dyDescent="0.25">
      <c r="A397">
        <v>46</v>
      </c>
      <c r="B397" t="s">
        <v>10</v>
      </c>
      <c r="C397">
        <v>19.855</v>
      </c>
      <c r="D397">
        <v>0</v>
      </c>
      <c r="E397" t="s">
        <v>11</v>
      </c>
      <c r="F397" t="s">
        <v>13</v>
      </c>
      <c r="G397">
        <v>7526.7064499999997</v>
      </c>
    </row>
    <row r="398" spans="1:7" x14ac:dyDescent="0.25">
      <c r="A398">
        <v>43</v>
      </c>
      <c r="B398" t="s">
        <v>7</v>
      </c>
      <c r="C398">
        <v>34.4</v>
      </c>
      <c r="D398">
        <v>3</v>
      </c>
      <c r="E398" t="s">
        <v>11</v>
      </c>
      <c r="F398" t="s">
        <v>9</v>
      </c>
      <c r="G398">
        <v>8522.0030000000006</v>
      </c>
    </row>
    <row r="399" spans="1:7" x14ac:dyDescent="0.25">
      <c r="A399">
        <v>21</v>
      </c>
      <c r="B399" t="s">
        <v>10</v>
      </c>
      <c r="C399">
        <v>31.02</v>
      </c>
      <c r="D399">
        <v>0</v>
      </c>
      <c r="E399" t="s">
        <v>11</v>
      </c>
      <c r="F399" t="s">
        <v>12</v>
      </c>
      <c r="G399">
        <v>16586.49771</v>
      </c>
    </row>
    <row r="400" spans="1:7" x14ac:dyDescent="0.25">
      <c r="A400">
        <v>64</v>
      </c>
      <c r="B400" t="s">
        <v>10</v>
      </c>
      <c r="C400">
        <v>25.6</v>
      </c>
      <c r="D400">
        <v>2</v>
      </c>
      <c r="E400" t="s">
        <v>11</v>
      </c>
      <c r="F400" t="s">
        <v>9</v>
      </c>
      <c r="G400">
        <v>14988.432000000001</v>
      </c>
    </row>
    <row r="401" spans="1:7" x14ac:dyDescent="0.25">
      <c r="A401">
        <v>18</v>
      </c>
      <c r="B401" t="s">
        <v>7</v>
      </c>
      <c r="C401">
        <v>38.17</v>
      </c>
      <c r="D401">
        <v>0</v>
      </c>
      <c r="E401" t="s">
        <v>11</v>
      </c>
      <c r="F401" t="s">
        <v>12</v>
      </c>
      <c r="G401">
        <v>1631.6683</v>
      </c>
    </row>
    <row r="402" spans="1:7" x14ac:dyDescent="0.25">
      <c r="A402">
        <v>51</v>
      </c>
      <c r="B402" t="s">
        <v>7</v>
      </c>
      <c r="C402">
        <v>20.6</v>
      </c>
      <c r="D402">
        <v>0</v>
      </c>
      <c r="E402" t="s">
        <v>11</v>
      </c>
      <c r="F402" t="s">
        <v>9</v>
      </c>
      <c r="G402">
        <v>9264.7970000000005</v>
      </c>
    </row>
    <row r="403" spans="1:7" x14ac:dyDescent="0.25">
      <c r="A403">
        <v>47</v>
      </c>
      <c r="B403" t="s">
        <v>10</v>
      </c>
      <c r="C403">
        <v>47.52</v>
      </c>
      <c r="D403">
        <v>1</v>
      </c>
      <c r="E403" t="s">
        <v>11</v>
      </c>
      <c r="F403" t="s">
        <v>12</v>
      </c>
      <c r="G403">
        <v>8083.9197999999997</v>
      </c>
    </row>
    <row r="404" spans="1:7" x14ac:dyDescent="0.25">
      <c r="A404">
        <v>64</v>
      </c>
      <c r="B404" t="s">
        <v>7</v>
      </c>
      <c r="C404">
        <v>32.965000000000003</v>
      </c>
      <c r="D404">
        <v>0</v>
      </c>
      <c r="E404" t="s">
        <v>11</v>
      </c>
      <c r="F404" t="s">
        <v>13</v>
      </c>
      <c r="G404">
        <v>14692.66935</v>
      </c>
    </row>
    <row r="405" spans="1:7" x14ac:dyDescent="0.25">
      <c r="A405">
        <v>49</v>
      </c>
      <c r="B405" t="s">
        <v>10</v>
      </c>
      <c r="C405">
        <v>32.299999999999997</v>
      </c>
      <c r="D405">
        <v>3</v>
      </c>
      <c r="E405" t="s">
        <v>11</v>
      </c>
      <c r="F405" t="s">
        <v>13</v>
      </c>
      <c r="G405">
        <v>10269.459999999999</v>
      </c>
    </row>
    <row r="406" spans="1:7" x14ac:dyDescent="0.25">
      <c r="A406">
        <v>31</v>
      </c>
      <c r="B406" t="s">
        <v>10</v>
      </c>
      <c r="C406">
        <v>20.399999999999999</v>
      </c>
      <c r="D406">
        <v>0</v>
      </c>
      <c r="E406" t="s">
        <v>11</v>
      </c>
      <c r="F406" t="s">
        <v>9</v>
      </c>
      <c r="G406">
        <v>3260.1990000000001</v>
      </c>
    </row>
    <row r="407" spans="1:7" x14ac:dyDescent="0.25">
      <c r="A407">
        <v>52</v>
      </c>
      <c r="B407" t="s">
        <v>7</v>
      </c>
      <c r="C407">
        <v>38.380000000000003</v>
      </c>
      <c r="D407">
        <v>2</v>
      </c>
      <c r="E407" t="s">
        <v>11</v>
      </c>
      <c r="F407" t="s">
        <v>14</v>
      </c>
      <c r="G407">
        <v>11396.9002</v>
      </c>
    </row>
    <row r="408" spans="1:7" x14ac:dyDescent="0.25">
      <c r="A408">
        <v>33</v>
      </c>
      <c r="B408" t="s">
        <v>7</v>
      </c>
      <c r="C408">
        <v>24.31</v>
      </c>
      <c r="D408">
        <v>0</v>
      </c>
      <c r="E408" t="s">
        <v>11</v>
      </c>
      <c r="F408" t="s">
        <v>12</v>
      </c>
      <c r="G408">
        <v>4185.0978999999998</v>
      </c>
    </row>
    <row r="409" spans="1:7" x14ac:dyDescent="0.25">
      <c r="A409">
        <v>47</v>
      </c>
      <c r="B409" t="s">
        <v>7</v>
      </c>
      <c r="C409">
        <v>23.6</v>
      </c>
      <c r="D409">
        <v>1</v>
      </c>
      <c r="E409" t="s">
        <v>11</v>
      </c>
      <c r="F409" t="s">
        <v>9</v>
      </c>
      <c r="G409">
        <v>8539.6710000000003</v>
      </c>
    </row>
    <row r="410" spans="1:7" x14ac:dyDescent="0.25">
      <c r="A410">
        <v>38</v>
      </c>
      <c r="B410" t="s">
        <v>10</v>
      </c>
      <c r="C410">
        <v>21.12</v>
      </c>
      <c r="D410">
        <v>3</v>
      </c>
      <c r="E410" t="s">
        <v>11</v>
      </c>
      <c r="F410" t="s">
        <v>12</v>
      </c>
      <c r="G410">
        <v>6652.5288</v>
      </c>
    </row>
    <row r="411" spans="1:7" x14ac:dyDescent="0.25">
      <c r="A411">
        <v>32</v>
      </c>
      <c r="B411" t="s">
        <v>10</v>
      </c>
      <c r="C411">
        <v>30.03</v>
      </c>
      <c r="D411">
        <v>1</v>
      </c>
      <c r="E411" t="s">
        <v>11</v>
      </c>
      <c r="F411" t="s">
        <v>12</v>
      </c>
      <c r="G411">
        <v>4074.4537</v>
      </c>
    </row>
    <row r="412" spans="1:7" x14ac:dyDescent="0.25">
      <c r="A412">
        <v>19</v>
      </c>
      <c r="B412" t="s">
        <v>10</v>
      </c>
      <c r="C412">
        <v>17.48</v>
      </c>
      <c r="D412">
        <v>0</v>
      </c>
      <c r="E412" t="s">
        <v>11</v>
      </c>
      <c r="F412" t="s">
        <v>13</v>
      </c>
      <c r="G412">
        <v>1621.3402000000001</v>
      </c>
    </row>
    <row r="413" spans="1:7" x14ac:dyDescent="0.25">
      <c r="A413">
        <v>44</v>
      </c>
      <c r="B413" t="s">
        <v>7</v>
      </c>
      <c r="C413">
        <v>20.234999999999999</v>
      </c>
      <c r="D413">
        <v>1</v>
      </c>
      <c r="E413" t="s">
        <v>8</v>
      </c>
      <c r="F413" t="s">
        <v>14</v>
      </c>
      <c r="G413">
        <v>19594.809649999999</v>
      </c>
    </row>
    <row r="414" spans="1:7" x14ac:dyDescent="0.25">
      <c r="A414">
        <v>26</v>
      </c>
      <c r="B414" t="s">
        <v>7</v>
      </c>
      <c r="C414">
        <v>17.195</v>
      </c>
      <c r="D414">
        <v>2</v>
      </c>
      <c r="E414" t="s">
        <v>8</v>
      </c>
      <c r="F414" t="s">
        <v>14</v>
      </c>
      <c r="G414">
        <v>14455.644050000001</v>
      </c>
    </row>
    <row r="415" spans="1:7" x14ac:dyDescent="0.25">
      <c r="A415">
        <v>25</v>
      </c>
      <c r="B415" t="s">
        <v>10</v>
      </c>
      <c r="C415">
        <v>23.9</v>
      </c>
      <c r="D415">
        <v>5</v>
      </c>
      <c r="E415" t="s">
        <v>11</v>
      </c>
      <c r="F415" t="s">
        <v>9</v>
      </c>
      <c r="G415">
        <v>5080.0959999999995</v>
      </c>
    </row>
    <row r="416" spans="1:7" x14ac:dyDescent="0.25">
      <c r="A416">
        <v>19</v>
      </c>
      <c r="B416" t="s">
        <v>7</v>
      </c>
      <c r="C416">
        <v>35.15</v>
      </c>
      <c r="D416">
        <v>0</v>
      </c>
      <c r="E416" t="s">
        <v>11</v>
      </c>
      <c r="F416" t="s">
        <v>13</v>
      </c>
      <c r="G416">
        <v>2134.9014999999999</v>
      </c>
    </row>
    <row r="417" spans="1:7" x14ac:dyDescent="0.25">
      <c r="A417">
        <v>43</v>
      </c>
      <c r="B417" t="s">
        <v>7</v>
      </c>
      <c r="C417">
        <v>35.64</v>
      </c>
      <c r="D417">
        <v>1</v>
      </c>
      <c r="E417" t="s">
        <v>11</v>
      </c>
      <c r="F417" t="s">
        <v>12</v>
      </c>
      <c r="G417">
        <v>7345.7266</v>
      </c>
    </row>
    <row r="418" spans="1:7" x14ac:dyDescent="0.25">
      <c r="A418">
        <v>52</v>
      </c>
      <c r="B418" t="s">
        <v>10</v>
      </c>
      <c r="C418">
        <v>34.1</v>
      </c>
      <c r="D418">
        <v>0</v>
      </c>
      <c r="E418" t="s">
        <v>11</v>
      </c>
      <c r="F418" t="s">
        <v>12</v>
      </c>
      <c r="G418">
        <v>9140.9509999999991</v>
      </c>
    </row>
    <row r="419" spans="1:7" x14ac:dyDescent="0.25">
      <c r="A419">
        <v>36</v>
      </c>
      <c r="B419" t="s">
        <v>7</v>
      </c>
      <c r="C419">
        <v>22.6</v>
      </c>
      <c r="D419">
        <v>2</v>
      </c>
      <c r="E419" t="s">
        <v>8</v>
      </c>
      <c r="F419" t="s">
        <v>9</v>
      </c>
      <c r="G419">
        <v>18608.261999999999</v>
      </c>
    </row>
    <row r="420" spans="1:7" x14ac:dyDescent="0.25">
      <c r="A420">
        <v>64</v>
      </c>
      <c r="B420" t="s">
        <v>10</v>
      </c>
      <c r="C420">
        <v>39.159999999999997</v>
      </c>
      <c r="D420">
        <v>1</v>
      </c>
      <c r="E420" t="s">
        <v>11</v>
      </c>
      <c r="F420" t="s">
        <v>12</v>
      </c>
      <c r="G420">
        <v>14418.2804</v>
      </c>
    </row>
    <row r="421" spans="1:7" x14ac:dyDescent="0.25">
      <c r="A421">
        <v>63</v>
      </c>
      <c r="B421" t="s">
        <v>7</v>
      </c>
      <c r="C421">
        <v>26.98</v>
      </c>
      <c r="D421">
        <v>0</v>
      </c>
      <c r="E421" t="s">
        <v>8</v>
      </c>
      <c r="F421" t="s">
        <v>13</v>
      </c>
      <c r="G421">
        <v>28950.4692</v>
      </c>
    </row>
    <row r="422" spans="1:7" x14ac:dyDescent="0.25">
      <c r="A422">
        <v>64</v>
      </c>
      <c r="B422" t="s">
        <v>10</v>
      </c>
      <c r="C422">
        <v>33.880000000000003</v>
      </c>
      <c r="D422">
        <v>0</v>
      </c>
      <c r="E422" t="s">
        <v>8</v>
      </c>
      <c r="F422" t="s">
        <v>12</v>
      </c>
      <c r="G422">
        <v>46889.261200000001</v>
      </c>
    </row>
    <row r="423" spans="1:7" x14ac:dyDescent="0.25">
      <c r="A423">
        <v>61</v>
      </c>
      <c r="B423" t="s">
        <v>10</v>
      </c>
      <c r="C423">
        <v>35.86</v>
      </c>
      <c r="D423">
        <v>0</v>
      </c>
      <c r="E423" t="s">
        <v>8</v>
      </c>
      <c r="F423" t="s">
        <v>12</v>
      </c>
      <c r="G423">
        <v>46599.108399999997</v>
      </c>
    </row>
    <row r="424" spans="1:7" x14ac:dyDescent="0.25">
      <c r="A424">
        <v>40</v>
      </c>
      <c r="B424" t="s">
        <v>10</v>
      </c>
      <c r="C424">
        <v>32.774999999999999</v>
      </c>
      <c r="D424">
        <v>1</v>
      </c>
      <c r="E424" t="s">
        <v>8</v>
      </c>
      <c r="F424" t="s">
        <v>14</v>
      </c>
      <c r="G424">
        <v>39125.332249999999</v>
      </c>
    </row>
    <row r="425" spans="1:7" x14ac:dyDescent="0.25">
      <c r="A425">
        <v>25</v>
      </c>
      <c r="B425" t="s">
        <v>10</v>
      </c>
      <c r="C425">
        <v>30.59</v>
      </c>
      <c r="D425">
        <v>0</v>
      </c>
      <c r="E425" t="s">
        <v>11</v>
      </c>
      <c r="F425" t="s">
        <v>14</v>
      </c>
      <c r="G425">
        <v>2727.3951000000002</v>
      </c>
    </row>
    <row r="426" spans="1:7" x14ac:dyDescent="0.25">
      <c r="A426">
        <v>48</v>
      </c>
      <c r="B426" t="s">
        <v>10</v>
      </c>
      <c r="C426">
        <v>30.2</v>
      </c>
      <c r="D426">
        <v>2</v>
      </c>
      <c r="E426" t="s">
        <v>11</v>
      </c>
      <c r="F426" t="s">
        <v>9</v>
      </c>
      <c r="G426">
        <v>8968.33</v>
      </c>
    </row>
    <row r="427" spans="1:7" x14ac:dyDescent="0.25">
      <c r="A427">
        <v>45</v>
      </c>
      <c r="B427" t="s">
        <v>10</v>
      </c>
      <c r="C427">
        <v>24.31</v>
      </c>
      <c r="D427">
        <v>5</v>
      </c>
      <c r="E427" t="s">
        <v>11</v>
      </c>
      <c r="F427" t="s">
        <v>12</v>
      </c>
      <c r="G427">
        <v>9788.8659000000007</v>
      </c>
    </row>
    <row r="428" spans="1:7" x14ac:dyDescent="0.25">
      <c r="A428">
        <v>38</v>
      </c>
      <c r="B428" t="s">
        <v>7</v>
      </c>
      <c r="C428">
        <v>27.265000000000001</v>
      </c>
      <c r="D428">
        <v>1</v>
      </c>
      <c r="E428" t="s">
        <v>11</v>
      </c>
      <c r="F428" t="s">
        <v>14</v>
      </c>
      <c r="G428">
        <v>6555.07035</v>
      </c>
    </row>
    <row r="429" spans="1:7" x14ac:dyDescent="0.25">
      <c r="A429">
        <v>18</v>
      </c>
      <c r="B429" t="s">
        <v>7</v>
      </c>
      <c r="C429">
        <v>29.164999999999999</v>
      </c>
      <c r="D429">
        <v>0</v>
      </c>
      <c r="E429" t="s">
        <v>11</v>
      </c>
      <c r="F429" t="s">
        <v>14</v>
      </c>
      <c r="G429">
        <v>7323.7348190000002</v>
      </c>
    </row>
    <row r="430" spans="1:7" x14ac:dyDescent="0.25">
      <c r="A430">
        <v>21</v>
      </c>
      <c r="B430" t="s">
        <v>7</v>
      </c>
      <c r="C430">
        <v>16.815000000000001</v>
      </c>
      <c r="D430">
        <v>1</v>
      </c>
      <c r="E430" t="s">
        <v>11</v>
      </c>
      <c r="F430" t="s">
        <v>14</v>
      </c>
      <c r="G430">
        <v>3167.4558499999998</v>
      </c>
    </row>
    <row r="431" spans="1:7" x14ac:dyDescent="0.25">
      <c r="A431">
        <v>27</v>
      </c>
      <c r="B431" t="s">
        <v>7</v>
      </c>
      <c r="C431">
        <v>30.4</v>
      </c>
      <c r="D431">
        <v>3</v>
      </c>
      <c r="E431" t="s">
        <v>11</v>
      </c>
      <c r="F431" t="s">
        <v>13</v>
      </c>
      <c r="G431">
        <v>18804.752400000001</v>
      </c>
    </row>
    <row r="432" spans="1:7" x14ac:dyDescent="0.25">
      <c r="A432">
        <v>19</v>
      </c>
      <c r="B432" t="s">
        <v>10</v>
      </c>
      <c r="C432">
        <v>33.1</v>
      </c>
      <c r="D432">
        <v>0</v>
      </c>
      <c r="E432" t="s">
        <v>11</v>
      </c>
      <c r="F432" t="s">
        <v>9</v>
      </c>
      <c r="G432">
        <v>23082.955330000001</v>
      </c>
    </row>
    <row r="433" spans="1:7" x14ac:dyDescent="0.25">
      <c r="A433">
        <v>29</v>
      </c>
      <c r="B433" t="s">
        <v>7</v>
      </c>
      <c r="C433">
        <v>20.234999999999999</v>
      </c>
      <c r="D433">
        <v>2</v>
      </c>
      <c r="E433" t="s">
        <v>11</v>
      </c>
      <c r="F433" t="s">
        <v>13</v>
      </c>
      <c r="G433">
        <v>4906.4096499999996</v>
      </c>
    </row>
    <row r="434" spans="1:7" x14ac:dyDescent="0.25">
      <c r="A434">
        <v>42</v>
      </c>
      <c r="B434" t="s">
        <v>10</v>
      </c>
      <c r="C434">
        <v>26.9</v>
      </c>
      <c r="D434">
        <v>0</v>
      </c>
      <c r="E434" t="s">
        <v>11</v>
      </c>
      <c r="F434" t="s">
        <v>9</v>
      </c>
      <c r="G434">
        <v>5969.723</v>
      </c>
    </row>
    <row r="435" spans="1:7" x14ac:dyDescent="0.25">
      <c r="A435">
        <v>60</v>
      </c>
      <c r="B435" t="s">
        <v>7</v>
      </c>
      <c r="C435">
        <v>30.5</v>
      </c>
      <c r="D435">
        <v>0</v>
      </c>
      <c r="E435" t="s">
        <v>11</v>
      </c>
      <c r="F435" t="s">
        <v>9</v>
      </c>
      <c r="G435">
        <v>12638.195</v>
      </c>
    </row>
    <row r="436" spans="1:7" x14ac:dyDescent="0.25">
      <c r="A436">
        <v>31</v>
      </c>
      <c r="B436" t="s">
        <v>10</v>
      </c>
      <c r="C436">
        <v>28.594999999999999</v>
      </c>
      <c r="D436">
        <v>1</v>
      </c>
      <c r="E436" t="s">
        <v>11</v>
      </c>
      <c r="F436" t="s">
        <v>13</v>
      </c>
      <c r="G436">
        <v>4243.5900499999998</v>
      </c>
    </row>
    <row r="437" spans="1:7" x14ac:dyDescent="0.25">
      <c r="A437">
        <v>60</v>
      </c>
      <c r="B437" t="s">
        <v>10</v>
      </c>
      <c r="C437">
        <v>33.11</v>
      </c>
      <c r="D437">
        <v>3</v>
      </c>
      <c r="E437" t="s">
        <v>11</v>
      </c>
      <c r="F437" t="s">
        <v>12</v>
      </c>
      <c r="G437">
        <v>13919.822899999999</v>
      </c>
    </row>
    <row r="438" spans="1:7" x14ac:dyDescent="0.25">
      <c r="A438">
        <v>22</v>
      </c>
      <c r="B438" t="s">
        <v>10</v>
      </c>
      <c r="C438">
        <v>31.73</v>
      </c>
      <c r="D438">
        <v>0</v>
      </c>
      <c r="E438" t="s">
        <v>11</v>
      </c>
      <c r="F438" t="s">
        <v>14</v>
      </c>
      <c r="G438">
        <v>2254.7966999999999</v>
      </c>
    </row>
    <row r="439" spans="1:7" x14ac:dyDescent="0.25">
      <c r="A439">
        <v>35</v>
      </c>
      <c r="B439" t="s">
        <v>10</v>
      </c>
      <c r="C439">
        <v>28.9</v>
      </c>
      <c r="D439">
        <v>3</v>
      </c>
      <c r="E439" t="s">
        <v>11</v>
      </c>
      <c r="F439" t="s">
        <v>9</v>
      </c>
      <c r="G439">
        <v>5926.8459999999995</v>
      </c>
    </row>
    <row r="440" spans="1:7" x14ac:dyDescent="0.25">
      <c r="A440">
        <v>52</v>
      </c>
      <c r="B440" t="s">
        <v>7</v>
      </c>
      <c r="C440">
        <v>46.75</v>
      </c>
      <c r="D440">
        <v>5</v>
      </c>
      <c r="E440" t="s">
        <v>11</v>
      </c>
      <c r="F440" t="s">
        <v>12</v>
      </c>
      <c r="G440">
        <v>12592.5345</v>
      </c>
    </row>
    <row r="441" spans="1:7" x14ac:dyDescent="0.25">
      <c r="A441">
        <v>26</v>
      </c>
      <c r="B441" t="s">
        <v>10</v>
      </c>
      <c r="C441">
        <v>29.45</v>
      </c>
      <c r="D441">
        <v>0</v>
      </c>
      <c r="E441" t="s">
        <v>11</v>
      </c>
      <c r="F441" t="s">
        <v>14</v>
      </c>
      <c r="G441">
        <v>2897.3235</v>
      </c>
    </row>
    <row r="442" spans="1:7" x14ac:dyDescent="0.25">
      <c r="A442">
        <v>31</v>
      </c>
      <c r="B442" t="s">
        <v>7</v>
      </c>
      <c r="C442">
        <v>32.68</v>
      </c>
      <c r="D442">
        <v>1</v>
      </c>
      <c r="E442" t="s">
        <v>11</v>
      </c>
      <c r="F442" t="s">
        <v>13</v>
      </c>
      <c r="G442">
        <v>4738.2682000000004</v>
      </c>
    </row>
    <row r="443" spans="1:7" x14ac:dyDescent="0.25">
      <c r="A443">
        <v>33</v>
      </c>
      <c r="B443" t="s">
        <v>7</v>
      </c>
      <c r="C443">
        <v>33.5</v>
      </c>
      <c r="D443">
        <v>0</v>
      </c>
      <c r="E443" t="s">
        <v>8</v>
      </c>
      <c r="F443" t="s">
        <v>9</v>
      </c>
      <c r="G443">
        <v>37079.372000000003</v>
      </c>
    </row>
    <row r="444" spans="1:7" x14ac:dyDescent="0.25">
      <c r="A444">
        <v>18</v>
      </c>
      <c r="B444" t="s">
        <v>10</v>
      </c>
      <c r="C444">
        <v>43.01</v>
      </c>
      <c r="D444">
        <v>0</v>
      </c>
      <c r="E444" t="s">
        <v>11</v>
      </c>
      <c r="F444" t="s">
        <v>12</v>
      </c>
      <c r="G444">
        <v>1149.3959</v>
      </c>
    </row>
    <row r="445" spans="1:7" x14ac:dyDescent="0.25">
      <c r="A445">
        <v>59</v>
      </c>
      <c r="B445" t="s">
        <v>7</v>
      </c>
      <c r="C445">
        <v>36.520000000000003</v>
      </c>
      <c r="D445">
        <v>1</v>
      </c>
      <c r="E445" t="s">
        <v>11</v>
      </c>
      <c r="F445" t="s">
        <v>12</v>
      </c>
      <c r="G445">
        <v>28287.897659999999</v>
      </c>
    </row>
    <row r="446" spans="1:7" x14ac:dyDescent="0.25">
      <c r="A446">
        <v>56</v>
      </c>
      <c r="B446" t="s">
        <v>10</v>
      </c>
      <c r="C446">
        <v>26.695</v>
      </c>
      <c r="D446">
        <v>1</v>
      </c>
      <c r="E446" t="s">
        <v>8</v>
      </c>
      <c r="F446" t="s">
        <v>13</v>
      </c>
      <c r="G446">
        <v>26109.32905</v>
      </c>
    </row>
    <row r="447" spans="1:7" x14ac:dyDescent="0.25">
      <c r="A447">
        <v>45</v>
      </c>
      <c r="B447" t="s">
        <v>7</v>
      </c>
      <c r="C447">
        <v>33.1</v>
      </c>
      <c r="D447">
        <v>0</v>
      </c>
      <c r="E447" t="s">
        <v>11</v>
      </c>
      <c r="F447" t="s">
        <v>9</v>
      </c>
      <c r="G447">
        <v>7345.0839999999998</v>
      </c>
    </row>
    <row r="448" spans="1:7" x14ac:dyDescent="0.25">
      <c r="A448">
        <v>60</v>
      </c>
      <c r="B448" t="s">
        <v>10</v>
      </c>
      <c r="C448">
        <v>29.64</v>
      </c>
      <c r="D448">
        <v>0</v>
      </c>
      <c r="E448" t="s">
        <v>11</v>
      </c>
      <c r="F448" t="s">
        <v>14</v>
      </c>
      <c r="G448">
        <v>12730.999599999999</v>
      </c>
    </row>
    <row r="449" spans="1:7" x14ac:dyDescent="0.25">
      <c r="A449">
        <v>56</v>
      </c>
      <c r="B449" t="s">
        <v>7</v>
      </c>
      <c r="C449">
        <v>25.65</v>
      </c>
      <c r="D449">
        <v>0</v>
      </c>
      <c r="E449" t="s">
        <v>11</v>
      </c>
      <c r="F449" t="s">
        <v>13</v>
      </c>
      <c r="G449">
        <v>11454.021500000001</v>
      </c>
    </row>
    <row r="450" spans="1:7" x14ac:dyDescent="0.25">
      <c r="A450">
        <v>40</v>
      </c>
      <c r="B450" t="s">
        <v>7</v>
      </c>
      <c r="C450">
        <v>29.6</v>
      </c>
      <c r="D450">
        <v>0</v>
      </c>
      <c r="E450" t="s">
        <v>11</v>
      </c>
      <c r="F450" t="s">
        <v>9</v>
      </c>
      <c r="G450">
        <v>5910.9440000000004</v>
      </c>
    </row>
    <row r="451" spans="1:7" x14ac:dyDescent="0.25">
      <c r="A451">
        <v>35</v>
      </c>
      <c r="B451" t="s">
        <v>10</v>
      </c>
      <c r="C451">
        <v>38.6</v>
      </c>
      <c r="D451">
        <v>1</v>
      </c>
      <c r="E451" t="s">
        <v>11</v>
      </c>
      <c r="F451" t="s">
        <v>9</v>
      </c>
      <c r="G451">
        <v>4762.3289999999997</v>
      </c>
    </row>
    <row r="452" spans="1:7" x14ac:dyDescent="0.25">
      <c r="A452">
        <v>39</v>
      </c>
      <c r="B452" t="s">
        <v>10</v>
      </c>
      <c r="C452">
        <v>29.6</v>
      </c>
      <c r="D452">
        <v>4</v>
      </c>
      <c r="E452" t="s">
        <v>11</v>
      </c>
      <c r="F452" t="s">
        <v>9</v>
      </c>
      <c r="G452">
        <v>7512.2669999999998</v>
      </c>
    </row>
    <row r="453" spans="1:7" x14ac:dyDescent="0.25">
      <c r="A453">
        <v>30</v>
      </c>
      <c r="B453" t="s">
        <v>10</v>
      </c>
      <c r="C453">
        <v>24.13</v>
      </c>
      <c r="D453">
        <v>1</v>
      </c>
      <c r="E453" t="s">
        <v>11</v>
      </c>
      <c r="F453" t="s">
        <v>13</v>
      </c>
      <c r="G453">
        <v>4032.2406999999998</v>
      </c>
    </row>
    <row r="454" spans="1:7" x14ac:dyDescent="0.25">
      <c r="A454">
        <v>24</v>
      </c>
      <c r="B454" t="s">
        <v>10</v>
      </c>
      <c r="C454">
        <v>23.4</v>
      </c>
      <c r="D454">
        <v>0</v>
      </c>
      <c r="E454" t="s">
        <v>11</v>
      </c>
      <c r="F454" t="s">
        <v>9</v>
      </c>
      <c r="G454">
        <v>1969.614</v>
      </c>
    </row>
    <row r="455" spans="1:7" x14ac:dyDescent="0.25">
      <c r="A455">
        <v>20</v>
      </c>
      <c r="B455" t="s">
        <v>10</v>
      </c>
      <c r="C455">
        <v>29.734999999999999</v>
      </c>
      <c r="D455">
        <v>0</v>
      </c>
      <c r="E455" t="s">
        <v>11</v>
      </c>
      <c r="F455" t="s">
        <v>13</v>
      </c>
      <c r="G455">
        <v>1769.5316499999999</v>
      </c>
    </row>
    <row r="456" spans="1:7" x14ac:dyDescent="0.25">
      <c r="A456">
        <v>32</v>
      </c>
      <c r="B456" t="s">
        <v>10</v>
      </c>
      <c r="C456">
        <v>46.53</v>
      </c>
      <c r="D456">
        <v>2</v>
      </c>
      <c r="E456" t="s">
        <v>11</v>
      </c>
      <c r="F456" t="s">
        <v>12</v>
      </c>
      <c r="G456">
        <v>4686.3887000000004</v>
      </c>
    </row>
    <row r="457" spans="1:7" x14ac:dyDescent="0.25">
      <c r="A457">
        <v>59</v>
      </c>
      <c r="B457" t="s">
        <v>10</v>
      </c>
      <c r="C457">
        <v>37.4</v>
      </c>
      <c r="D457">
        <v>0</v>
      </c>
      <c r="E457" t="s">
        <v>11</v>
      </c>
      <c r="F457" t="s">
        <v>9</v>
      </c>
      <c r="G457">
        <v>21797.000400000001</v>
      </c>
    </row>
    <row r="458" spans="1:7" x14ac:dyDescent="0.25">
      <c r="A458">
        <v>55</v>
      </c>
      <c r="B458" t="s">
        <v>7</v>
      </c>
      <c r="C458">
        <v>30.14</v>
      </c>
      <c r="D458">
        <v>2</v>
      </c>
      <c r="E458" t="s">
        <v>11</v>
      </c>
      <c r="F458" t="s">
        <v>12</v>
      </c>
      <c r="G458">
        <v>11881.9696</v>
      </c>
    </row>
    <row r="459" spans="1:7" x14ac:dyDescent="0.25">
      <c r="A459">
        <v>57</v>
      </c>
      <c r="B459" t="s">
        <v>7</v>
      </c>
      <c r="C459">
        <v>30.495000000000001</v>
      </c>
      <c r="D459">
        <v>0</v>
      </c>
      <c r="E459" t="s">
        <v>11</v>
      </c>
      <c r="F459" t="s">
        <v>13</v>
      </c>
      <c r="G459">
        <v>11840.77505</v>
      </c>
    </row>
    <row r="460" spans="1:7" x14ac:dyDescent="0.25">
      <c r="A460">
        <v>56</v>
      </c>
      <c r="B460" t="s">
        <v>10</v>
      </c>
      <c r="C460">
        <v>39.6</v>
      </c>
      <c r="D460">
        <v>0</v>
      </c>
      <c r="E460" t="s">
        <v>11</v>
      </c>
      <c r="F460" t="s">
        <v>9</v>
      </c>
      <c r="G460">
        <v>10601.412</v>
      </c>
    </row>
    <row r="461" spans="1:7" x14ac:dyDescent="0.25">
      <c r="A461">
        <v>40</v>
      </c>
      <c r="B461" t="s">
        <v>7</v>
      </c>
      <c r="C461">
        <v>33</v>
      </c>
      <c r="D461">
        <v>3</v>
      </c>
      <c r="E461" t="s">
        <v>11</v>
      </c>
      <c r="F461" t="s">
        <v>12</v>
      </c>
      <c r="G461">
        <v>7682.67</v>
      </c>
    </row>
    <row r="462" spans="1:7" x14ac:dyDescent="0.25">
      <c r="A462">
        <v>49</v>
      </c>
      <c r="B462" t="s">
        <v>7</v>
      </c>
      <c r="C462">
        <v>36.630000000000003</v>
      </c>
      <c r="D462">
        <v>3</v>
      </c>
      <c r="E462" t="s">
        <v>11</v>
      </c>
      <c r="F462" t="s">
        <v>12</v>
      </c>
      <c r="G462">
        <v>10381.4787</v>
      </c>
    </row>
    <row r="463" spans="1:7" x14ac:dyDescent="0.25">
      <c r="A463">
        <v>42</v>
      </c>
      <c r="B463" t="s">
        <v>10</v>
      </c>
      <c r="C463">
        <v>30</v>
      </c>
      <c r="D463">
        <v>0</v>
      </c>
      <c r="E463" t="s">
        <v>8</v>
      </c>
      <c r="F463" t="s">
        <v>9</v>
      </c>
      <c r="G463">
        <v>22144.031999999999</v>
      </c>
    </row>
    <row r="464" spans="1:7" x14ac:dyDescent="0.25">
      <c r="A464">
        <v>62</v>
      </c>
      <c r="B464" t="s">
        <v>7</v>
      </c>
      <c r="C464">
        <v>38.094999999999999</v>
      </c>
      <c r="D464">
        <v>2</v>
      </c>
      <c r="E464" t="s">
        <v>11</v>
      </c>
      <c r="F464" t="s">
        <v>14</v>
      </c>
      <c r="G464">
        <v>15230.324049999999</v>
      </c>
    </row>
    <row r="465" spans="1:7" x14ac:dyDescent="0.25">
      <c r="A465">
        <v>56</v>
      </c>
      <c r="B465" t="s">
        <v>10</v>
      </c>
      <c r="C465">
        <v>25.934999999999999</v>
      </c>
      <c r="D465">
        <v>0</v>
      </c>
      <c r="E465" t="s">
        <v>11</v>
      </c>
      <c r="F465" t="s">
        <v>14</v>
      </c>
      <c r="G465">
        <v>11165.417649999999</v>
      </c>
    </row>
    <row r="466" spans="1:7" x14ac:dyDescent="0.25">
      <c r="A466">
        <v>19</v>
      </c>
      <c r="B466" t="s">
        <v>10</v>
      </c>
      <c r="C466">
        <v>25.175000000000001</v>
      </c>
      <c r="D466">
        <v>0</v>
      </c>
      <c r="E466" t="s">
        <v>11</v>
      </c>
      <c r="F466" t="s">
        <v>13</v>
      </c>
      <c r="G466">
        <v>1632.0362500000001</v>
      </c>
    </row>
    <row r="467" spans="1:7" x14ac:dyDescent="0.25">
      <c r="A467">
        <v>30</v>
      </c>
      <c r="B467" t="s">
        <v>7</v>
      </c>
      <c r="C467">
        <v>28.38</v>
      </c>
      <c r="D467">
        <v>1</v>
      </c>
      <c r="E467" t="s">
        <v>8</v>
      </c>
      <c r="F467" t="s">
        <v>12</v>
      </c>
      <c r="G467">
        <v>19521.968199999999</v>
      </c>
    </row>
    <row r="468" spans="1:7" x14ac:dyDescent="0.25">
      <c r="A468">
        <v>60</v>
      </c>
      <c r="B468" t="s">
        <v>7</v>
      </c>
      <c r="C468">
        <v>28.7</v>
      </c>
      <c r="D468">
        <v>1</v>
      </c>
      <c r="E468" t="s">
        <v>11</v>
      </c>
      <c r="F468" t="s">
        <v>9</v>
      </c>
      <c r="G468">
        <v>13224.692999999999</v>
      </c>
    </row>
    <row r="469" spans="1:7" x14ac:dyDescent="0.25">
      <c r="A469">
        <v>56</v>
      </c>
      <c r="B469" t="s">
        <v>7</v>
      </c>
      <c r="C469">
        <v>33.82</v>
      </c>
      <c r="D469">
        <v>2</v>
      </c>
      <c r="E469" t="s">
        <v>11</v>
      </c>
      <c r="F469" t="s">
        <v>13</v>
      </c>
      <c r="G469">
        <v>12643.3778</v>
      </c>
    </row>
    <row r="470" spans="1:7" x14ac:dyDescent="0.25">
      <c r="A470">
        <v>28</v>
      </c>
      <c r="B470" t="s">
        <v>7</v>
      </c>
      <c r="C470">
        <v>24.32</v>
      </c>
      <c r="D470">
        <v>1</v>
      </c>
      <c r="E470" t="s">
        <v>11</v>
      </c>
      <c r="F470" t="s">
        <v>14</v>
      </c>
      <c r="G470">
        <v>23288.928400000001</v>
      </c>
    </row>
    <row r="471" spans="1:7" x14ac:dyDescent="0.25">
      <c r="A471">
        <v>18</v>
      </c>
      <c r="B471" t="s">
        <v>7</v>
      </c>
      <c r="C471">
        <v>24.09</v>
      </c>
      <c r="D471">
        <v>1</v>
      </c>
      <c r="E471" t="s">
        <v>11</v>
      </c>
      <c r="F471" t="s">
        <v>12</v>
      </c>
      <c r="G471">
        <v>2201.0971</v>
      </c>
    </row>
    <row r="472" spans="1:7" x14ac:dyDescent="0.25">
      <c r="A472">
        <v>27</v>
      </c>
      <c r="B472" t="s">
        <v>10</v>
      </c>
      <c r="C472">
        <v>32.67</v>
      </c>
      <c r="D472">
        <v>0</v>
      </c>
      <c r="E472" t="s">
        <v>11</v>
      </c>
      <c r="F472" t="s">
        <v>12</v>
      </c>
      <c r="G472">
        <v>2497.0383000000002</v>
      </c>
    </row>
    <row r="473" spans="1:7" x14ac:dyDescent="0.25">
      <c r="A473">
        <v>18</v>
      </c>
      <c r="B473" t="s">
        <v>7</v>
      </c>
      <c r="C473">
        <v>30.114999999999998</v>
      </c>
      <c r="D473">
        <v>0</v>
      </c>
      <c r="E473" t="s">
        <v>11</v>
      </c>
      <c r="F473" t="s">
        <v>14</v>
      </c>
      <c r="G473">
        <v>2203.4718499999999</v>
      </c>
    </row>
    <row r="474" spans="1:7" x14ac:dyDescent="0.25">
      <c r="A474">
        <v>19</v>
      </c>
      <c r="B474" t="s">
        <v>7</v>
      </c>
      <c r="C474">
        <v>29.8</v>
      </c>
      <c r="D474">
        <v>0</v>
      </c>
      <c r="E474" t="s">
        <v>11</v>
      </c>
      <c r="F474" t="s">
        <v>9</v>
      </c>
      <c r="G474">
        <v>1744.4649999999999</v>
      </c>
    </row>
    <row r="475" spans="1:7" x14ac:dyDescent="0.25">
      <c r="A475">
        <v>47</v>
      </c>
      <c r="B475" t="s">
        <v>7</v>
      </c>
      <c r="C475">
        <v>33.344999999999999</v>
      </c>
      <c r="D475">
        <v>0</v>
      </c>
      <c r="E475" t="s">
        <v>11</v>
      </c>
      <c r="F475" t="s">
        <v>14</v>
      </c>
      <c r="G475">
        <v>20878.78443</v>
      </c>
    </row>
    <row r="476" spans="1:7" x14ac:dyDescent="0.25">
      <c r="A476">
        <v>54</v>
      </c>
      <c r="B476" t="s">
        <v>10</v>
      </c>
      <c r="C476">
        <v>25.1</v>
      </c>
      <c r="D476">
        <v>3</v>
      </c>
      <c r="E476" t="s">
        <v>8</v>
      </c>
      <c r="F476" t="s">
        <v>9</v>
      </c>
      <c r="G476">
        <v>25382.296999999999</v>
      </c>
    </row>
    <row r="477" spans="1:7" x14ac:dyDescent="0.25">
      <c r="A477">
        <v>61</v>
      </c>
      <c r="B477" t="s">
        <v>10</v>
      </c>
      <c r="C477">
        <v>28.31</v>
      </c>
      <c r="D477">
        <v>1</v>
      </c>
      <c r="E477" t="s">
        <v>8</v>
      </c>
      <c r="F477" t="s">
        <v>13</v>
      </c>
      <c r="G477">
        <v>28868.6639</v>
      </c>
    </row>
    <row r="478" spans="1:7" x14ac:dyDescent="0.25">
      <c r="A478">
        <v>24</v>
      </c>
      <c r="B478" t="s">
        <v>10</v>
      </c>
      <c r="C478">
        <v>28.5</v>
      </c>
      <c r="D478">
        <v>0</v>
      </c>
      <c r="E478" t="s">
        <v>8</v>
      </c>
      <c r="F478" t="s">
        <v>14</v>
      </c>
      <c r="G478">
        <v>35147.528480000001</v>
      </c>
    </row>
    <row r="479" spans="1:7" x14ac:dyDescent="0.25">
      <c r="A479">
        <v>25</v>
      </c>
      <c r="B479" t="s">
        <v>10</v>
      </c>
      <c r="C479">
        <v>35.625</v>
      </c>
      <c r="D479">
        <v>0</v>
      </c>
      <c r="E479" t="s">
        <v>11</v>
      </c>
      <c r="F479" t="s">
        <v>13</v>
      </c>
      <c r="G479">
        <v>2534.3937500000002</v>
      </c>
    </row>
    <row r="480" spans="1:7" x14ac:dyDescent="0.25">
      <c r="A480">
        <v>21</v>
      </c>
      <c r="B480" t="s">
        <v>10</v>
      </c>
      <c r="C480">
        <v>36.85</v>
      </c>
      <c r="D480">
        <v>0</v>
      </c>
      <c r="E480" t="s">
        <v>11</v>
      </c>
      <c r="F480" t="s">
        <v>12</v>
      </c>
      <c r="G480">
        <v>1534.3045</v>
      </c>
    </row>
    <row r="481" spans="1:7" x14ac:dyDescent="0.25">
      <c r="A481">
        <v>23</v>
      </c>
      <c r="B481" t="s">
        <v>10</v>
      </c>
      <c r="C481">
        <v>32.56</v>
      </c>
      <c r="D481">
        <v>0</v>
      </c>
      <c r="E481" t="s">
        <v>11</v>
      </c>
      <c r="F481" t="s">
        <v>12</v>
      </c>
      <c r="G481">
        <v>1824.2854</v>
      </c>
    </row>
    <row r="482" spans="1:7" x14ac:dyDescent="0.25">
      <c r="A482">
        <v>63</v>
      </c>
      <c r="B482" t="s">
        <v>10</v>
      </c>
      <c r="C482">
        <v>41.325000000000003</v>
      </c>
      <c r="D482">
        <v>3</v>
      </c>
      <c r="E482" t="s">
        <v>11</v>
      </c>
      <c r="F482" t="s">
        <v>13</v>
      </c>
      <c r="G482">
        <v>15555.188749999999</v>
      </c>
    </row>
    <row r="483" spans="1:7" x14ac:dyDescent="0.25">
      <c r="A483">
        <v>49</v>
      </c>
      <c r="B483" t="s">
        <v>10</v>
      </c>
      <c r="C483">
        <v>37.51</v>
      </c>
      <c r="D483">
        <v>2</v>
      </c>
      <c r="E483" t="s">
        <v>11</v>
      </c>
      <c r="F483" t="s">
        <v>12</v>
      </c>
      <c r="G483">
        <v>9304.7019</v>
      </c>
    </row>
    <row r="484" spans="1:7" x14ac:dyDescent="0.25">
      <c r="A484">
        <v>18</v>
      </c>
      <c r="B484" t="s">
        <v>7</v>
      </c>
      <c r="C484">
        <v>31.35</v>
      </c>
      <c r="D484">
        <v>0</v>
      </c>
      <c r="E484" t="s">
        <v>11</v>
      </c>
      <c r="F484" t="s">
        <v>12</v>
      </c>
      <c r="G484">
        <v>1622.1885</v>
      </c>
    </row>
    <row r="485" spans="1:7" x14ac:dyDescent="0.25">
      <c r="A485">
        <v>51</v>
      </c>
      <c r="B485" t="s">
        <v>7</v>
      </c>
      <c r="C485">
        <v>39.5</v>
      </c>
      <c r="D485">
        <v>1</v>
      </c>
      <c r="E485" t="s">
        <v>11</v>
      </c>
      <c r="F485" t="s">
        <v>9</v>
      </c>
      <c r="G485">
        <v>9880.0679999999993</v>
      </c>
    </row>
    <row r="486" spans="1:7" x14ac:dyDescent="0.25">
      <c r="A486">
        <v>48</v>
      </c>
      <c r="B486" t="s">
        <v>10</v>
      </c>
      <c r="C486">
        <v>34.299999999999997</v>
      </c>
      <c r="D486">
        <v>3</v>
      </c>
      <c r="E486" t="s">
        <v>11</v>
      </c>
      <c r="F486" t="s">
        <v>9</v>
      </c>
      <c r="G486">
        <v>9563.0290000000005</v>
      </c>
    </row>
    <row r="487" spans="1:7" x14ac:dyDescent="0.25">
      <c r="A487">
        <v>31</v>
      </c>
      <c r="B487" t="s">
        <v>7</v>
      </c>
      <c r="C487">
        <v>31.065000000000001</v>
      </c>
      <c r="D487">
        <v>0</v>
      </c>
      <c r="E487" t="s">
        <v>11</v>
      </c>
      <c r="F487" t="s">
        <v>14</v>
      </c>
      <c r="G487">
        <v>4347.0233500000004</v>
      </c>
    </row>
    <row r="488" spans="1:7" x14ac:dyDescent="0.25">
      <c r="A488">
        <v>54</v>
      </c>
      <c r="B488" t="s">
        <v>7</v>
      </c>
      <c r="C488">
        <v>21.47</v>
      </c>
      <c r="D488">
        <v>3</v>
      </c>
      <c r="E488" t="s">
        <v>11</v>
      </c>
      <c r="F488" t="s">
        <v>13</v>
      </c>
      <c r="G488">
        <v>12475.3513</v>
      </c>
    </row>
    <row r="489" spans="1:7" x14ac:dyDescent="0.25">
      <c r="A489">
        <v>19</v>
      </c>
      <c r="B489" t="s">
        <v>10</v>
      </c>
      <c r="C489">
        <v>28.7</v>
      </c>
      <c r="D489">
        <v>0</v>
      </c>
      <c r="E489" t="s">
        <v>11</v>
      </c>
      <c r="F489" t="s">
        <v>9</v>
      </c>
      <c r="G489">
        <v>1253.9359999999999</v>
      </c>
    </row>
    <row r="490" spans="1:7" x14ac:dyDescent="0.25">
      <c r="A490">
        <v>44</v>
      </c>
      <c r="B490" t="s">
        <v>7</v>
      </c>
      <c r="C490">
        <v>38.06</v>
      </c>
      <c r="D490">
        <v>0</v>
      </c>
      <c r="E490" t="s">
        <v>8</v>
      </c>
      <c r="F490" t="s">
        <v>12</v>
      </c>
      <c r="G490">
        <v>48885.135609999998</v>
      </c>
    </row>
    <row r="491" spans="1:7" x14ac:dyDescent="0.25">
      <c r="A491">
        <v>53</v>
      </c>
      <c r="B491" t="s">
        <v>10</v>
      </c>
      <c r="C491">
        <v>31.16</v>
      </c>
      <c r="D491">
        <v>1</v>
      </c>
      <c r="E491" t="s">
        <v>11</v>
      </c>
      <c r="F491" t="s">
        <v>13</v>
      </c>
      <c r="G491">
        <v>10461.9794</v>
      </c>
    </row>
    <row r="492" spans="1:7" x14ac:dyDescent="0.25">
      <c r="A492">
        <v>19</v>
      </c>
      <c r="B492" t="s">
        <v>7</v>
      </c>
      <c r="C492">
        <v>32.9</v>
      </c>
      <c r="D492">
        <v>0</v>
      </c>
      <c r="E492" t="s">
        <v>11</v>
      </c>
      <c r="F492" t="s">
        <v>9</v>
      </c>
      <c r="G492">
        <v>1748.7739999999999</v>
      </c>
    </row>
    <row r="493" spans="1:7" x14ac:dyDescent="0.25">
      <c r="A493">
        <v>61</v>
      </c>
      <c r="B493" t="s">
        <v>7</v>
      </c>
      <c r="C493">
        <v>25.08</v>
      </c>
      <c r="D493">
        <v>0</v>
      </c>
      <c r="E493" t="s">
        <v>11</v>
      </c>
      <c r="F493" t="s">
        <v>12</v>
      </c>
      <c r="G493">
        <v>24513.091260000001</v>
      </c>
    </row>
    <row r="494" spans="1:7" x14ac:dyDescent="0.25">
      <c r="A494">
        <v>18</v>
      </c>
      <c r="B494" t="s">
        <v>7</v>
      </c>
      <c r="C494">
        <v>25.08</v>
      </c>
      <c r="D494">
        <v>0</v>
      </c>
      <c r="E494" t="s">
        <v>11</v>
      </c>
      <c r="F494" t="s">
        <v>14</v>
      </c>
      <c r="G494">
        <v>2196.4731999999999</v>
      </c>
    </row>
    <row r="495" spans="1:7" x14ac:dyDescent="0.25">
      <c r="A495">
        <v>61</v>
      </c>
      <c r="B495" t="s">
        <v>10</v>
      </c>
      <c r="C495">
        <v>43.4</v>
      </c>
      <c r="D495">
        <v>0</v>
      </c>
      <c r="E495" t="s">
        <v>11</v>
      </c>
      <c r="F495" t="s">
        <v>9</v>
      </c>
      <c r="G495">
        <v>12574.049000000001</v>
      </c>
    </row>
    <row r="496" spans="1:7" x14ac:dyDescent="0.25">
      <c r="A496">
        <v>21</v>
      </c>
      <c r="B496" t="s">
        <v>10</v>
      </c>
      <c r="C496">
        <v>25.7</v>
      </c>
      <c r="D496">
        <v>4</v>
      </c>
      <c r="E496" t="s">
        <v>8</v>
      </c>
      <c r="F496" t="s">
        <v>9</v>
      </c>
      <c r="G496">
        <v>17942.106</v>
      </c>
    </row>
    <row r="497" spans="1:7" x14ac:dyDescent="0.25">
      <c r="A497">
        <v>20</v>
      </c>
      <c r="B497" t="s">
        <v>10</v>
      </c>
      <c r="C497">
        <v>27.93</v>
      </c>
      <c r="D497">
        <v>0</v>
      </c>
      <c r="E497" t="s">
        <v>11</v>
      </c>
      <c r="F497" t="s">
        <v>14</v>
      </c>
      <c r="G497">
        <v>1967.0227</v>
      </c>
    </row>
    <row r="498" spans="1:7" x14ac:dyDescent="0.25">
      <c r="A498">
        <v>31</v>
      </c>
      <c r="B498" t="s">
        <v>7</v>
      </c>
      <c r="C498">
        <v>23.6</v>
      </c>
      <c r="D498">
        <v>2</v>
      </c>
      <c r="E498" t="s">
        <v>11</v>
      </c>
      <c r="F498" t="s">
        <v>9</v>
      </c>
      <c r="G498">
        <v>4931.6469999999999</v>
      </c>
    </row>
    <row r="499" spans="1:7" x14ac:dyDescent="0.25">
      <c r="A499">
        <v>45</v>
      </c>
      <c r="B499" t="s">
        <v>10</v>
      </c>
      <c r="C499">
        <v>28.7</v>
      </c>
      <c r="D499">
        <v>2</v>
      </c>
      <c r="E499" t="s">
        <v>11</v>
      </c>
      <c r="F499" t="s">
        <v>9</v>
      </c>
      <c r="G499">
        <v>8027.9679999999998</v>
      </c>
    </row>
    <row r="500" spans="1:7" x14ac:dyDescent="0.25">
      <c r="A500">
        <v>44</v>
      </c>
      <c r="B500" t="s">
        <v>7</v>
      </c>
      <c r="C500">
        <v>23.98</v>
      </c>
      <c r="D500">
        <v>2</v>
      </c>
      <c r="E500" t="s">
        <v>11</v>
      </c>
      <c r="F500" t="s">
        <v>12</v>
      </c>
      <c r="G500">
        <v>8211.1002000000008</v>
      </c>
    </row>
    <row r="501" spans="1:7" x14ac:dyDescent="0.25">
      <c r="A501">
        <v>62</v>
      </c>
      <c r="B501" t="s">
        <v>7</v>
      </c>
      <c r="C501">
        <v>39.200000000000003</v>
      </c>
      <c r="D501">
        <v>0</v>
      </c>
      <c r="E501" t="s">
        <v>11</v>
      </c>
      <c r="F501" t="s">
        <v>9</v>
      </c>
      <c r="G501">
        <v>13470.86</v>
      </c>
    </row>
    <row r="502" spans="1:7" x14ac:dyDescent="0.25">
      <c r="A502">
        <v>29</v>
      </c>
      <c r="B502" t="s">
        <v>10</v>
      </c>
      <c r="C502">
        <v>34.4</v>
      </c>
      <c r="D502">
        <v>0</v>
      </c>
      <c r="E502" t="s">
        <v>8</v>
      </c>
      <c r="F502" t="s">
        <v>9</v>
      </c>
      <c r="G502">
        <v>36197.699000000001</v>
      </c>
    </row>
    <row r="503" spans="1:7" x14ac:dyDescent="0.25">
      <c r="A503">
        <v>43</v>
      </c>
      <c r="B503" t="s">
        <v>10</v>
      </c>
      <c r="C503">
        <v>26.03</v>
      </c>
      <c r="D503">
        <v>0</v>
      </c>
      <c r="E503" t="s">
        <v>11</v>
      </c>
      <c r="F503" t="s">
        <v>14</v>
      </c>
      <c r="G503">
        <v>6837.3687</v>
      </c>
    </row>
    <row r="504" spans="1:7" x14ac:dyDescent="0.25">
      <c r="A504">
        <v>51</v>
      </c>
      <c r="B504" t="s">
        <v>10</v>
      </c>
      <c r="C504">
        <v>23.21</v>
      </c>
      <c r="D504">
        <v>1</v>
      </c>
      <c r="E504" t="s">
        <v>8</v>
      </c>
      <c r="F504" t="s">
        <v>12</v>
      </c>
      <c r="G504">
        <v>22218.1149</v>
      </c>
    </row>
    <row r="505" spans="1:7" x14ac:dyDescent="0.25">
      <c r="A505">
        <v>19</v>
      </c>
      <c r="B505" t="s">
        <v>10</v>
      </c>
      <c r="C505">
        <v>30.25</v>
      </c>
      <c r="D505">
        <v>0</v>
      </c>
      <c r="E505" t="s">
        <v>8</v>
      </c>
      <c r="F505" t="s">
        <v>12</v>
      </c>
      <c r="G505">
        <v>32548.340499999998</v>
      </c>
    </row>
    <row r="506" spans="1:7" x14ac:dyDescent="0.25">
      <c r="A506">
        <v>38</v>
      </c>
      <c r="B506" t="s">
        <v>7</v>
      </c>
      <c r="C506">
        <v>28.93</v>
      </c>
      <c r="D506">
        <v>1</v>
      </c>
      <c r="E506" t="s">
        <v>11</v>
      </c>
      <c r="F506" t="s">
        <v>12</v>
      </c>
      <c r="G506">
        <v>5974.3846999999996</v>
      </c>
    </row>
    <row r="507" spans="1:7" x14ac:dyDescent="0.25">
      <c r="A507">
        <v>37</v>
      </c>
      <c r="B507" t="s">
        <v>10</v>
      </c>
      <c r="C507">
        <v>30.875</v>
      </c>
      <c r="D507">
        <v>3</v>
      </c>
      <c r="E507" t="s">
        <v>11</v>
      </c>
      <c r="F507" t="s">
        <v>13</v>
      </c>
      <c r="G507">
        <v>6796.8632500000003</v>
      </c>
    </row>
    <row r="508" spans="1:7" x14ac:dyDescent="0.25">
      <c r="A508">
        <v>22</v>
      </c>
      <c r="B508" t="s">
        <v>10</v>
      </c>
      <c r="C508">
        <v>31.35</v>
      </c>
      <c r="D508">
        <v>1</v>
      </c>
      <c r="E508" t="s">
        <v>11</v>
      </c>
      <c r="F508" t="s">
        <v>13</v>
      </c>
      <c r="G508">
        <v>2643.2685000000001</v>
      </c>
    </row>
    <row r="509" spans="1:7" x14ac:dyDescent="0.25">
      <c r="A509">
        <v>21</v>
      </c>
      <c r="B509" t="s">
        <v>10</v>
      </c>
      <c r="C509">
        <v>23.75</v>
      </c>
      <c r="D509">
        <v>2</v>
      </c>
      <c r="E509" t="s">
        <v>11</v>
      </c>
      <c r="F509" t="s">
        <v>13</v>
      </c>
      <c r="G509">
        <v>3077.0954999999999</v>
      </c>
    </row>
    <row r="510" spans="1:7" x14ac:dyDescent="0.25">
      <c r="A510">
        <v>24</v>
      </c>
      <c r="B510" t="s">
        <v>7</v>
      </c>
      <c r="C510">
        <v>25.27</v>
      </c>
      <c r="D510">
        <v>0</v>
      </c>
      <c r="E510" t="s">
        <v>11</v>
      </c>
      <c r="F510" t="s">
        <v>14</v>
      </c>
      <c r="G510">
        <v>3044.2132999999999</v>
      </c>
    </row>
    <row r="511" spans="1:7" x14ac:dyDescent="0.25">
      <c r="A511">
        <v>57</v>
      </c>
      <c r="B511" t="s">
        <v>7</v>
      </c>
      <c r="C511">
        <v>28.7</v>
      </c>
      <c r="D511">
        <v>0</v>
      </c>
      <c r="E511" t="s">
        <v>11</v>
      </c>
      <c r="F511" t="s">
        <v>9</v>
      </c>
      <c r="G511">
        <v>11455.28</v>
      </c>
    </row>
    <row r="512" spans="1:7" x14ac:dyDescent="0.25">
      <c r="A512">
        <v>56</v>
      </c>
      <c r="B512" t="s">
        <v>10</v>
      </c>
      <c r="C512">
        <v>32.11</v>
      </c>
      <c r="D512">
        <v>1</v>
      </c>
      <c r="E512" t="s">
        <v>11</v>
      </c>
      <c r="F512" t="s">
        <v>14</v>
      </c>
      <c r="G512">
        <v>11763.000899999999</v>
      </c>
    </row>
    <row r="513" spans="1:7" x14ac:dyDescent="0.25">
      <c r="A513">
        <v>27</v>
      </c>
      <c r="B513" t="s">
        <v>10</v>
      </c>
      <c r="C513">
        <v>33.659999999999997</v>
      </c>
      <c r="D513">
        <v>0</v>
      </c>
      <c r="E513" t="s">
        <v>11</v>
      </c>
      <c r="F513" t="s">
        <v>12</v>
      </c>
      <c r="G513">
        <v>2498.4144000000001</v>
      </c>
    </row>
    <row r="514" spans="1:7" x14ac:dyDescent="0.25">
      <c r="A514">
        <v>51</v>
      </c>
      <c r="B514" t="s">
        <v>10</v>
      </c>
      <c r="C514">
        <v>22.42</v>
      </c>
      <c r="D514">
        <v>0</v>
      </c>
      <c r="E514" t="s">
        <v>11</v>
      </c>
      <c r="F514" t="s">
        <v>14</v>
      </c>
      <c r="G514">
        <v>9361.3268000000007</v>
      </c>
    </row>
    <row r="515" spans="1:7" x14ac:dyDescent="0.25">
      <c r="A515">
        <v>19</v>
      </c>
      <c r="B515" t="s">
        <v>10</v>
      </c>
      <c r="C515">
        <v>30.4</v>
      </c>
      <c r="D515">
        <v>0</v>
      </c>
      <c r="E515" t="s">
        <v>11</v>
      </c>
      <c r="F515" t="s">
        <v>9</v>
      </c>
      <c r="G515">
        <v>1256.299</v>
      </c>
    </row>
    <row r="516" spans="1:7" x14ac:dyDescent="0.25">
      <c r="A516">
        <v>39</v>
      </c>
      <c r="B516" t="s">
        <v>10</v>
      </c>
      <c r="C516">
        <v>28.3</v>
      </c>
      <c r="D516">
        <v>1</v>
      </c>
      <c r="E516" t="s">
        <v>8</v>
      </c>
      <c r="F516" t="s">
        <v>9</v>
      </c>
      <c r="G516">
        <v>21082.16</v>
      </c>
    </row>
    <row r="517" spans="1:7" x14ac:dyDescent="0.25">
      <c r="A517">
        <v>58</v>
      </c>
      <c r="B517" t="s">
        <v>10</v>
      </c>
      <c r="C517">
        <v>35.700000000000003</v>
      </c>
      <c r="D517">
        <v>0</v>
      </c>
      <c r="E517" t="s">
        <v>11</v>
      </c>
      <c r="F517" t="s">
        <v>9</v>
      </c>
      <c r="G517">
        <v>11362.754999999999</v>
      </c>
    </row>
    <row r="518" spans="1:7" x14ac:dyDescent="0.25">
      <c r="A518">
        <v>20</v>
      </c>
      <c r="B518" t="s">
        <v>10</v>
      </c>
      <c r="C518">
        <v>35.31</v>
      </c>
      <c r="D518">
        <v>1</v>
      </c>
      <c r="E518" t="s">
        <v>11</v>
      </c>
      <c r="F518" t="s">
        <v>12</v>
      </c>
      <c r="G518">
        <v>27724.28875</v>
      </c>
    </row>
    <row r="519" spans="1:7" x14ac:dyDescent="0.25">
      <c r="A519">
        <v>45</v>
      </c>
      <c r="B519" t="s">
        <v>10</v>
      </c>
      <c r="C519">
        <v>30.495000000000001</v>
      </c>
      <c r="D519">
        <v>2</v>
      </c>
      <c r="E519" t="s">
        <v>11</v>
      </c>
      <c r="F519" t="s">
        <v>13</v>
      </c>
      <c r="G519">
        <v>8413.4630500000003</v>
      </c>
    </row>
    <row r="520" spans="1:7" x14ac:dyDescent="0.25">
      <c r="A520">
        <v>35</v>
      </c>
      <c r="B520" t="s">
        <v>7</v>
      </c>
      <c r="C520">
        <v>31</v>
      </c>
      <c r="D520">
        <v>1</v>
      </c>
      <c r="E520" t="s">
        <v>11</v>
      </c>
      <c r="F520" t="s">
        <v>9</v>
      </c>
      <c r="G520">
        <v>5240.7650000000003</v>
      </c>
    </row>
    <row r="521" spans="1:7" x14ac:dyDescent="0.25">
      <c r="A521">
        <v>31</v>
      </c>
      <c r="B521" t="s">
        <v>10</v>
      </c>
      <c r="C521">
        <v>30.875</v>
      </c>
      <c r="D521">
        <v>0</v>
      </c>
      <c r="E521" t="s">
        <v>11</v>
      </c>
      <c r="F521" t="s">
        <v>14</v>
      </c>
      <c r="G521">
        <v>3857.7592500000001</v>
      </c>
    </row>
    <row r="522" spans="1:7" x14ac:dyDescent="0.25">
      <c r="A522">
        <v>50</v>
      </c>
      <c r="B522" t="s">
        <v>7</v>
      </c>
      <c r="C522">
        <v>27.36</v>
      </c>
      <c r="D522">
        <v>0</v>
      </c>
      <c r="E522" t="s">
        <v>11</v>
      </c>
      <c r="F522" t="s">
        <v>14</v>
      </c>
      <c r="G522">
        <v>25656.575260000001</v>
      </c>
    </row>
    <row r="523" spans="1:7" x14ac:dyDescent="0.25">
      <c r="A523">
        <v>32</v>
      </c>
      <c r="B523" t="s">
        <v>7</v>
      </c>
      <c r="C523">
        <v>44.22</v>
      </c>
      <c r="D523">
        <v>0</v>
      </c>
      <c r="E523" t="s">
        <v>11</v>
      </c>
      <c r="F523" t="s">
        <v>12</v>
      </c>
      <c r="G523">
        <v>3994.1777999999999</v>
      </c>
    </row>
    <row r="524" spans="1:7" x14ac:dyDescent="0.25">
      <c r="A524">
        <v>51</v>
      </c>
      <c r="B524" t="s">
        <v>7</v>
      </c>
      <c r="C524">
        <v>33.914999999999999</v>
      </c>
      <c r="D524">
        <v>0</v>
      </c>
      <c r="E524" t="s">
        <v>11</v>
      </c>
      <c r="F524" t="s">
        <v>14</v>
      </c>
      <c r="G524">
        <v>9866.3048500000004</v>
      </c>
    </row>
    <row r="525" spans="1:7" x14ac:dyDescent="0.25">
      <c r="A525">
        <v>38</v>
      </c>
      <c r="B525" t="s">
        <v>7</v>
      </c>
      <c r="C525">
        <v>37.729999999999997</v>
      </c>
      <c r="D525">
        <v>0</v>
      </c>
      <c r="E525" t="s">
        <v>11</v>
      </c>
      <c r="F525" t="s">
        <v>12</v>
      </c>
      <c r="G525">
        <v>5397.6166999999996</v>
      </c>
    </row>
    <row r="526" spans="1:7" x14ac:dyDescent="0.25">
      <c r="A526">
        <v>42</v>
      </c>
      <c r="B526" t="s">
        <v>10</v>
      </c>
      <c r="C526">
        <v>26.07</v>
      </c>
      <c r="D526">
        <v>1</v>
      </c>
      <c r="E526" t="s">
        <v>8</v>
      </c>
      <c r="F526" t="s">
        <v>12</v>
      </c>
      <c r="G526">
        <v>38245.593269999998</v>
      </c>
    </row>
    <row r="527" spans="1:7" x14ac:dyDescent="0.25">
      <c r="A527">
        <v>18</v>
      </c>
      <c r="B527" t="s">
        <v>7</v>
      </c>
      <c r="C527">
        <v>33.880000000000003</v>
      </c>
      <c r="D527">
        <v>0</v>
      </c>
      <c r="E527" t="s">
        <v>11</v>
      </c>
      <c r="F527" t="s">
        <v>12</v>
      </c>
      <c r="G527">
        <v>11482.63485</v>
      </c>
    </row>
    <row r="528" spans="1:7" x14ac:dyDescent="0.25">
      <c r="A528">
        <v>19</v>
      </c>
      <c r="B528" t="s">
        <v>7</v>
      </c>
      <c r="C528">
        <v>30.59</v>
      </c>
      <c r="D528">
        <v>2</v>
      </c>
      <c r="E528" t="s">
        <v>11</v>
      </c>
      <c r="F528" t="s">
        <v>13</v>
      </c>
      <c r="G528">
        <v>24059.680189999999</v>
      </c>
    </row>
    <row r="529" spans="1:7" x14ac:dyDescent="0.25">
      <c r="A529">
        <v>51</v>
      </c>
      <c r="B529" t="s">
        <v>7</v>
      </c>
      <c r="C529">
        <v>25.8</v>
      </c>
      <c r="D529">
        <v>1</v>
      </c>
      <c r="E529" t="s">
        <v>11</v>
      </c>
      <c r="F529" t="s">
        <v>9</v>
      </c>
      <c r="G529">
        <v>9861.0249999999996</v>
      </c>
    </row>
    <row r="530" spans="1:7" x14ac:dyDescent="0.25">
      <c r="A530">
        <v>46</v>
      </c>
      <c r="B530" t="s">
        <v>10</v>
      </c>
      <c r="C530">
        <v>39.424999999999997</v>
      </c>
      <c r="D530">
        <v>1</v>
      </c>
      <c r="E530" t="s">
        <v>11</v>
      </c>
      <c r="F530" t="s">
        <v>14</v>
      </c>
      <c r="G530">
        <v>8342.9087500000005</v>
      </c>
    </row>
    <row r="531" spans="1:7" x14ac:dyDescent="0.25">
      <c r="A531">
        <v>18</v>
      </c>
      <c r="B531" t="s">
        <v>10</v>
      </c>
      <c r="C531">
        <v>25.46</v>
      </c>
      <c r="D531">
        <v>0</v>
      </c>
      <c r="E531" t="s">
        <v>11</v>
      </c>
      <c r="F531" t="s">
        <v>14</v>
      </c>
      <c r="G531">
        <v>1708.0014000000001</v>
      </c>
    </row>
    <row r="532" spans="1:7" x14ac:dyDescent="0.25">
      <c r="A532">
        <v>57</v>
      </c>
      <c r="B532" t="s">
        <v>10</v>
      </c>
      <c r="C532">
        <v>42.13</v>
      </c>
      <c r="D532">
        <v>1</v>
      </c>
      <c r="E532" t="s">
        <v>8</v>
      </c>
      <c r="F532" t="s">
        <v>12</v>
      </c>
      <c r="G532">
        <v>48675.517699999997</v>
      </c>
    </row>
    <row r="533" spans="1:7" x14ac:dyDescent="0.25">
      <c r="A533">
        <v>62</v>
      </c>
      <c r="B533" t="s">
        <v>7</v>
      </c>
      <c r="C533">
        <v>31.73</v>
      </c>
      <c r="D533">
        <v>0</v>
      </c>
      <c r="E533" t="s">
        <v>11</v>
      </c>
      <c r="F533" t="s">
        <v>14</v>
      </c>
      <c r="G533">
        <v>14043.476699999999</v>
      </c>
    </row>
    <row r="534" spans="1:7" x14ac:dyDescent="0.25">
      <c r="A534">
        <v>59</v>
      </c>
      <c r="B534" t="s">
        <v>10</v>
      </c>
      <c r="C534">
        <v>29.7</v>
      </c>
      <c r="D534">
        <v>2</v>
      </c>
      <c r="E534" t="s">
        <v>11</v>
      </c>
      <c r="F534" t="s">
        <v>12</v>
      </c>
      <c r="G534">
        <v>12925.886</v>
      </c>
    </row>
    <row r="535" spans="1:7" x14ac:dyDescent="0.25">
      <c r="A535">
        <v>37</v>
      </c>
      <c r="B535" t="s">
        <v>10</v>
      </c>
      <c r="C535">
        <v>36.19</v>
      </c>
      <c r="D535">
        <v>0</v>
      </c>
      <c r="E535" t="s">
        <v>11</v>
      </c>
      <c r="F535" t="s">
        <v>12</v>
      </c>
      <c r="G535">
        <v>19214.705529999999</v>
      </c>
    </row>
    <row r="536" spans="1:7" x14ac:dyDescent="0.25">
      <c r="A536">
        <v>64</v>
      </c>
      <c r="B536" t="s">
        <v>10</v>
      </c>
      <c r="C536">
        <v>40.479999999999997</v>
      </c>
      <c r="D536">
        <v>0</v>
      </c>
      <c r="E536" t="s">
        <v>11</v>
      </c>
      <c r="F536" t="s">
        <v>12</v>
      </c>
      <c r="G536">
        <v>13831.1152</v>
      </c>
    </row>
    <row r="537" spans="1:7" x14ac:dyDescent="0.25">
      <c r="A537">
        <v>38</v>
      </c>
      <c r="B537" t="s">
        <v>10</v>
      </c>
      <c r="C537">
        <v>28.024999999999999</v>
      </c>
      <c r="D537">
        <v>1</v>
      </c>
      <c r="E537" t="s">
        <v>11</v>
      </c>
      <c r="F537" t="s">
        <v>14</v>
      </c>
      <c r="G537">
        <v>6067.1267500000004</v>
      </c>
    </row>
    <row r="538" spans="1:7" x14ac:dyDescent="0.25">
      <c r="A538">
        <v>33</v>
      </c>
      <c r="B538" t="s">
        <v>7</v>
      </c>
      <c r="C538">
        <v>38.9</v>
      </c>
      <c r="D538">
        <v>3</v>
      </c>
      <c r="E538" t="s">
        <v>11</v>
      </c>
      <c r="F538" t="s">
        <v>9</v>
      </c>
      <c r="G538">
        <v>5972.3779999999997</v>
      </c>
    </row>
    <row r="539" spans="1:7" x14ac:dyDescent="0.25">
      <c r="A539">
        <v>46</v>
      </c>
      <c r="B539" t="s">
        <v>7</v>
      </c>
      <c r="C539">
        <v>30.2</v>
      </c>
      <c r="D539">
        <v>2</v>
      </c>
      <c r="E539" t="s">
        <v>11</v>
      </c>
      <c r="F539" t="s">
        <v>9</v>
      </c>
      <c r="G539">
        <v>8825.0859999999993</v>
      </c>
    </row>
    <row r="540" spans="1:7" x14ac:dyDescent="0.25">
      <c r="A540">
        <v>46</v>
      </c>
      <c r="B540" t="s">
        <v>7</v>
      </c>
      <c r="C540">
        <v>28.05</v>
      </c>
      <c r="D540">
        <v>1</v>
      </c>
      <c r="E540" t="s">
        <v>11</v>
      </c>
      <c r="F540" t="s">
        <v>12</v>
      </c>
      <c r="G540">
        <v>8233.0974999999999</v>
      </c>
    </row>
    <row r="541" spans="1:7" x14ac:dyDescent="0.25">
      <c r="A541">
        <v>53</v>
      </c>
      <c r="B541" t="s">
        <v>10</v>
      </c>
      <c r="C541">
        <v>31.35</v>
      </c>
      <c r="D541">
        <v>0</v>
      </c>
      <c r="E541" t="s">
        <v>11</v>
      </c>
      <c r="F541" t="s">
        <v>12</v>
      </c>
      <c r="G541">
        <v>27346.04207</v>
      </c>
    </row>
    <row r="542" spans="1:7" x14ac:dyDescent="0.25">
      <c r="A542">
        <v>34</v>
      </c>
      <c r="B542" t="s">
        <v>7</v>
      </c>
      <c r="C542">
        <v>38</v>
      </c>
      <c r="D542">
        <v>3</v>
      </c>
      <c r="E542" t="s">
        <v>11</v>
      </c>
      <c r="F542" t="s">
        <v>9</v>
      </c>
      <c r="G542">
        <v>6196.4480000000003</v>
      </c>
    </row>
    <row r="543" spans="1:7" x14ac:dyDescent="0.25">
      <c r="A543">
        <v>20</v>
      </c>
      <c r="B543" t="s">
        <v>7</v>
      </c>
      <c r="C543">
        <v>31.79</v>
      </c>
      <c r="D543">
        <v>2</v>
      </c>
      <c r="E543" t="s">
        <v>11</v>
      </c>
      <c r="F543" t="s">
        <v>12</v>
      </c>
      <c r="G543">
        <v>3056.3881000000001</v>
      </c>
    </row>
    <row r="544" spans="1:7" x14ac:dyDescent="0.25">
      <c r="A544">
        <v>63</v>
      </c>
      <c r="B544" t="s">
        <v>7</v>
      </c>
      <c r="C544">
        <v>36.299999999999997</v>
      </c>
      <c r="D544">
        <v>0</v>
      </c>
      <c r="E544" t="s">
        <v>11</v>
      </c>
      <c r="F544" t="s">
        <v>12</v>
      </c>
      <c r="G544">
        <v>13887.204</v>
      </c>
    </row>
    <row r="545" spans="1:7" x14ac:dyDescent="0.25">
      <c r="A545">
        <v>54</v>
      </c>
      <c r="B545" t="s">
        <v>7</v>
      </c>
      <c r="C545">
        <v>47.41</v>
      </c>
      <c r="D545">
        <v>0</v>
      </c>
      <c r="E545" t="s">
        <v>8</v>
      </c>
      <c r="F545" t="s">
        <v>12</v>
      </c>
      <c r="G545">
        <v>63770.428010000003</v>
      </c>
    </row>
    <row r="546" spans="1:7" x14ac:dyDescent="0.25">
      <c r="A546">
        <v>54</v>
      </c>
      <c r="B546" t="s">
        <v>10</v>
      </c>
      <c r="C546">
        <v>30.21</v>
      </c>
      <c r="D546">
        <v>0</v>
      </c>
      <c r="E546" t="s">
        <v>11</v>
      </c>
      <c r="F546" t="s">
        <v>13</v>
      </c>
      <c r="G546">
        <v>10231.499900000001</v>
      </c>
    </row>
    <row r="547" spans="1:7" x14ac:dyDescent="0.25">
      <c r="A547">
        <v>49</v>
      </c>
      <c r="B547" t="s">
        <v>10</v>
      </c>
      <c r="C547">
        <v>25.84</v>
      </c>
      <c r="D547">
        <v>2</v>
      </c>
      <c r="E547" t="s">
        <v>8</v>
      </c>
      <c r="F547" t="s">
        <v>13</v>
      </c>
      <c r="G547">
        <v>23807.240600000001</v>
      </c>
    </row>
    <row r="548" spans="1:7" x14ac:dyDescent="0.25">
      <c r="A548">
        <v>28</v>
      </c>
      <c r="B548" t="s">
        <v>10</v>
      </c>
      <c r="C548">
        <v>35.435000000000002</v>
      </c>
      <c r="D548">
        <v>0</v>
      </c>
      <c r="E548" t="s">
        <v>11</v>
      </c>
      <c r="F548" t="s">
        <v>14</v>
      </c>
      <c r="G548">
        <v>3268.84665</v>
      </c>
    </row>
    <row r="549" spans="1:7" x14ac:dyDescent="0.25">
      <c r="A549">
        <v>54</v>
      </c>
      <c r="B549" t="s">
        <v>7</v>
      </c>
      <c r="C549">
        <v>46.7</v>
      </c>
      <c r="D549">
        <v>2</v>
      </c>
      <c r="E549" t="s">
        <v>11</v>
      </c>
      <c r="F549" t="s">
        <v>9</v>
      </c>
      <c r="G549">
        <v>11538.421</v>
      </c>
    </row>
    <row r="550" spans="1:7" x14ac:dyDescent="0.25">
      <c r="A550">
        <v>25</v>
      </c>
      <c r="B550" t="s">
        <v>7</v>
      </c>
      <c r="C550">
        <v>28.594999999999999</v>
      </c>
      <c r="D550">
        <v>0</v>
      </c>
      <c r="E550" t="s">
        <v>11</v>
      </c>
      <c r="F550" t="s">
        <v>14</v>
      </c>
      <c r="G550">
        <v>3213.6220499999999</v>
      </c>
    </row>
    <row r="551" spans="1:7" x14ac:dyDescent="0.25">
      <c r="A551">
        <v>43</v>
      </c>
      <c r="B551" t="s">
        <v>7</v>
      </c>
      <c r="C551">
        <v>46.2</v>
      </c>
      <c r="D551">
        <v>0</v>
      </c>
      <c r="E551" t="s">
        <v>8</v>
      </c>
      <c r="F551" t="s">
        <v>12</v>
      </c>
      <c r="G551">
        <v>45863.205000000002</v>
      </c>
    </row>
    <row r="552" spans="1:7" x14ac:dyDescent="0.25">
      <c r="A552">
        <v>63</v>
      </c>
      <c r="B552" t="s">
        <v>10</v>
      </c>
      <c r="C552">
        <v>30.8</v>
      </c>
      <c r="D552">
        <v>0</v>
      </c>
      <c r="E552" t="s">
        <v>11</v>
      </c>
      <c r="F552" t="s">
        <v>9</v>
      </c>
      <c r="G552">
        <v>13390.558999999999</v>
      </c>
    </row>
    <row r="553" spans="1:7" x14ac:dyDescent="0.25">
      <c r="A553">
        <v>32</v>
      </c>
      <c r="B553" t="s">
        <v>7</v>
      </c>
      <c r="C553">
        <v>28.93</v>
      </c>
      <c r="D553">
        <v>0</v>
      </c>
      <c r="E553" t="s">
        <v>11</v>
      </c>
      <c r="F553" t="s">
        <v>12</v>
      </c>
      <c r="G553">
        <v>3972.9247</v>
      </c>
    </row>
    <row r="554" spans="1:7" x14ac:dyDescent="0.25">
      <c r="A554">
        <v>62</v>
      </c>
      <c r="B554" t="s">
        <v>10</v>
      </c>
      <c r="C554">
        <v>21.4</v>
      </c>
      <c r="D554">
        <v>0</v>
      </c>
      <c r="E554" t="s">
        <v>11</v>
      </c>
      <c r="F554" t="s">
        <v>9</v>
      </c>
      <c r="G554">
        <v>12957.118</v>
      </c>
    </row>
    <row r="555" spans="1:7" x14ac:dyDescent="0.25">
      <c r="A555">
        <v>52</v>
      </c>
      <c r="B555" t="s">
        <v>7</v>
      </c>
      <c r="C555">
        <v>31.73</v>
      </c>
      <c r="D555">
        <v>2</v>
      </c>
      <c r="E555" t="s">
        <v>11</v>
      </c>
      <c r="F555" t="s">
        <v>13</v>
      </c>
      <c r="G555">
        <v>11187.6567</v>
      </c>
    </row>
    <row r="556" spans="1:7" x14ac:dyDescent="0.25">
      <c r="A556">
        <v>25</v>
      </c>
      <c r="B556" t="s">
        <v>7</v>
      </c>
      <c r="C556">
        <v>41.325000000000003</v>
      </c>
      <c r="D556">
        <v>0</v>
      </c>
      <c r="E556" t="s">
        <v>11</v>
      </c>
      <c r="F556" t="s">
        <v>14</v>
      </c>
      <c r="G556">
        <v>17878.900679999999</v>
      </c>
    </row>
    <row r="557" spans="1:7" x14ac:dyDescent="0.25">
      <c r="A557">
        <v>28</v>
      </c>
      <c r="B557" t="s">
        <v>10</v>
      </c>
      <c r="C557">
        <v>23.8</v>
      </c>
      <c r="D557">
        <v>2</v>
      </c>
      <c r="E557" t="s">
        <v>11</v>
      </c>
      <c r="F557" t="s">
        <v>9</v>
      </c>
      <c r="G557">
        <v>3847.674</v>
      </c>
    </row>
    <row r="558" spans="1:7" x14ac:dyDescent="0.25">
      <c r="A558">
        <v>46</v>
      </c>
      <c r="B558" t="s">
        <v>10</v>
      </c>
      <c r="C558">
        <v>33.44</v>
      </c>
      <c r="D558">
        <v>1</v>
      </c>
      <c r="E558" t="s">
        <v>11</v>
      </c>
      <c r="F558" t="s">
        <v>14</v>
      </c>
      <c r="G558">
        <v>8334.5895999999993</v>
      </c>
    </row>
    <row r="559" spans="1:7" x14ac:dyDescent="0.25">
      <c r="A559">
        <v>34</v>
      </c>
      <c r="B559" t="s">
        <v>10</v>
      </c>
      <c r="C559">
        <v>34.21</v>
      </c>
      <c r="D559">
        <v>0</v>
      </c>
      <c r="E559" t="s">
        <v>11</v>
      </c>
      <c r="F559" t="s">
        <v>12</v>
      </c>
      <c r="G559">
        <v>3935.1799000000001</v>
      </c>
    </row>
    <row r="560" spans="1:7" x14ac:dyDescent="0.25">
      <c r="A560">
        <v>35</v>
      </c>
      <c r="B560" t="s">
        <v>7</v>
      </c>
      <c r="C560">
        <v>34.104999999999997</v>
      </c>
      <c r="D560">
        <v>3</v>
      </c>
      <c r="E560" t="s">
        <v>8</v>
      </c>
      <c r="F560" t="s">
        <v>13</v>
      </c>
      <c r="G560">
        <v>39983.425949999997</v>
      </c>
    </row>
    <row r="561" spans="1:7" x14ac:dyDescent="0.25">
      <c r="A561">
        <v>19</v>
      </c>
      <c r="B561" t="s">
        <v>10</v>
      </c>
      <c r="C561">
        <v>35.53</v>
      </c>
      <c r="D561">
        <v>0</v>
      </c>
      <c r="E561" t="s">
        <v>11</v>
      </c>
      <c r="F561" t="s">
        <v>13</v>
      </c>
      <c r="G561">
        <v>1646.4296999999999</v>
      </c>
    </row>
    <row r="562" spans="1:7" x14ac:dyDescent="0.25">
      <c r="A562">
        <v>46</v>
      </c>
      <c r="B562" t="s">
        <v>7</v>
      </c>
      <c r="C562">
        <v>19.95</v>
      </c>
      <c r="D562">
        <v>2</v>
      </c>
      <c r="E562" t="s">
        <v>11</v>
      </c>
      <c r="F562" t="s">
        <v>13</v>
      </c>
      <c r="G562">
        <v>9193.8384999999998</v>
      </c>
    </row>
    <row r="563" spans="1:7" x14ac:dyDescent="0.25">
      <c r="A563">
        <v>54</v>
      </c>
      <c r="B563" t="s">
        <v>7</v>
      </c>
      <c r="C563">
        <v>32.68</v>
      </c>
      <c r="D563">
        <v>0</v>
      </c>
      <c r="E563" t="s">
        <v>11</v>
      </c>
      <c r="F563" t="s">
        <v>14</v>
      </c>
      <c r="G563">
        <v>10923.933199999999</v>
      </c>
    </row>
    <row r="564" spans="1:7" x14ac:dyDescent="0.25">
      <c r="A564">
        <v>27</v>
      </c>
      <c r="B564" t="s">
        <v>10</v>
      </c>
      <c r="C564">
        <v>30.5</v>
      </c>
      <c r="D564">
        <v>0</v>
      </c>
      <c r="E564" t="s">
        <v>11</v>
      </c>
      <c r="F564" t="s">
        <v>9</v>
      </c>
      <c r="G564">
        <v>2494.0219999999999</v>
      </c>
    </row>
    <row r="565" spans="1:7" x14ac:dyDescent="0.25">
      <c r="A565">
        <v>50</v>
      </c>
      <c r="B565" t="s">
        <v>10</v>
      </c>
      <c r="C565">
        <v>44.77</v>
      </c>
      <c r="D565">
        <v>1</v>
      </c>
      <c r="E565" t="s">
        <v>11</v>
      </c>
      <c r="F565" t="s">
        <v>12</v>
      </c>
      <c r="G565">
        <v>9058.7302999999993</v>
      </c>
    </row>
    <row r="566" spans="1:7" x14ac:dyDescent="0.25">
      <c r="A566">
        <v>18</v>
      </c>
      <c r="B566" t="s">
        <v>7</v>
      </c>
      <c r="C566">
        <v>32.119999999999997</v>
      </c>
      <c r="D566">
        <v>2</v>
      </c>
      <c r="E566" t="s">
        <v>11</v>
      </c>
      <c r="F566" t="s">
        <v>12</v>
      </c>
      <c r="G566">
        <v>2801.2588000000001</v>
      </c>
    </row>
    <row r="567" spans="1:7" x14ac:dyDescent="0.25">
      <c r="A567">
        <v>19</v>
      </c>
      <c r="B567" t="s">
        <v>7</v>
      </c>
      <c r="C567">
        <v>30.495000000000001</v>
      </c>
      <c r="D567">
        <v>0</v>
      </c>
      <c r="E567" t="s">
        <v>11</v>
      </c>
      <c r="F567" t="s">
        <v>13</v>
      </c>
      <c r="G567">
        <v>2128.4310500000001</v>
      </c>
    </row>
    <row r="568" spans="1:7" x14ac:dyDescent="0.25">
      <c r="A568">
        <v>38</v>
      </c>
      <c r="B568" t="s">
        <v>7</v>
      </c>
      <c r="C568">
        <v>40.564999999999998</v>
      </c>
      <c r="D568">
        <v>1</v>
      </c>
      <c r="E568" t="s">
        <v>11</v>
      </c>
      <c r="F568" t="s">
        <v>13</v>
      </c>
      <c r="G568">
        <v>6373.55735</v>
      </c>
    </row>
    <row r="569" spans="1:7" x14ac:dyDescent="0.25">
      <c r="A569">
        <v>41</v>
      </c>
      <c r="B569" t="s">
        <v>10</v>
      </c>
      <c r="C569">
        <v>30.59</v>
      </c>
      <c r="D569">
        <v>2</v>
      </c>
      <c r="E569" t="s">
        <v>11</v>
      </c>
      <c r="F569" t="s">
        <v>13</v>
      </c>
      <c r="G569">
        <v>7256.7231000000002</v>
      </c>
    </row>
    <row r="570" spans="1:7" x14ac:dyDescent="0.25">
      <c r="A570">
        <v>49</v>
      </c>
      <c r="B570" t="s">
        <v>7</v>
      </c>
      <c r="C570">
        <v>31.9</v>
      </c>
      <c r="D570">
        <v>5</v>
      </c>
      <c r="E570" t="s">
        <v>11</v>
      </c>
      <c r="F570" t="s">
        <v>9</v>
      </c>
      <c r="G570">
        <v>11552.904</v>
      </c>
    </row>
    <row r="571" spans="1:7" x14ac:dyDescent="0.25">
      <c r="A571">
        <v>48</v>
      </c>
      <c r="B571" t="s">
        <v>10</v>
      </c>
      <c r="C571">
        <v>40.564999999999998</v>
      </c>
      <c r="D571">
        <v>2</v>
      </c>
      <c r="E571" t="s">
        <v>8</v>
      </c>
      <c r="F571" t="s">
        <v>13</v>
      </c>
      <c r="G571">
        <v>45702.022349999999</v>
      </c>
    </row>
    <row r="572" spans="1:7" x14ac:dyDescent="0.25">
      <c r="A572">
        <v>31</v>
      </c>
      <c r="B572" t="s">
        <v>7</v>
      </c>
      <c r="C572">
        <v>29.1</v>
      </c>
      <c r="D572">
        <v>0</v>
      </c>
      <c r="E572" t="s">
        <v>11</v>
      </c>
      <c r="F572" t="s">
        <v>9</v>
      </c>
      <c r="G572">
        <v>3761.2919999999999</v>
      </c>
    </row>
    <row r="573" spans="1:7" x14ac:dyDescent="0.25">
      <c r="A573">
        <v>18</v>
      </c>
      <c r="B573" t="s">
        <v>7</v>
      </c>
      <c r="C573">
        <v>37.29</v>
      </c>
      <c r="D573">
        <v>1</v>
      </c>
      <c r="E573" t="s">
        <v>11</v>
      </c>
      <c r="F573" t="s">
        <v>12</v>
      </c>
      <c r="G573">
        <v>2219.4450999999999</v>
      </c>
    </row>
    <row r="574" spans="1:7" x14ac:dyDescent="0.25">
      <c r="A574">
        <v>30</v>
      </c>
      <c r="B574" t="s">
        <v>7</v>
      </c>
      <c r="C574">
        <v>43.12</v>
      </c>
      <c r="D574">
        <v>2</v>
      </c>
      <c r="E574" t="s">
        <v>11</v>
      </c>
      <c r="F574" t="s">
        <v>12</v>
      </c>
      <c r="G574">
        <v>4753.6368000000002</v>
      </c>
    </row>
    <row r="575" spans="1:7" x14ac:dyDescent="0.25">
      <c r="A575">
        <v>62</v>
      </c>
      <c r="B575" t="s">
        <v>7</v>
      </c>
      <c r="C575">
        <v>36.86</v>
      </c>
      <c r="D575">
        <v>1</v>
      </c>
      <c r="E575" t="s">
        <v>11</v>
      </c>
      <c r="F575" t="s">
        <v>14</v>
      </c>
      <c r="G575">
        <v>31620.001059999999</v>
      </c>
    </row>
    <row r="576" spans="1:7" x14ac:dyDescent="0.25">
      <c r="A576">
        <v>57</v>
      </c>
      <c r="B576" t="s">
        <v>7</v>
      </c>
      <c r="C576">
        <v>34.295000000000002</v>
      </c>
      <c r="D576">
        <v>2</v>
      </c>
      <c r="E576" t="s">
        <v>11</v>
      </c>
      <c r="F576" t="s">
        <v>14</v>
      </c>
      <c r="G576">
        <v>13224.057049999999</v>
      </c>
    </row>
    <row r="577" spans="1:7" x14ac:dyDescent="0.25">
      <c r="A577">
        <v>58</v>
      </c>
      <c r="B577" t="s">
        <v>7</v>
      </c>
      <c r="C577">
        <v>27.17</v>
      </c>
      <c r="D577">
        <v>0</v>
      </c>
      <c r="E577" t="s">
        <v>11</v>
      </c>
      <c r="F577" t="s">
        <v>13</v>
      </c>
      <c r="G577">
        <v>12222.898300000001</v>
      </c>
    </row>
    <row r="578" spans="1:7" x14ac:dyDescent="0.25">
      <c r="A578">
        <v>22</v>
      </c>
      <c r="B578" t="s">
        <v>10</v>
      </c>
      <c r="C578">
        <v>26.84</v>
      </c>
      <c r="D578">
        <v>0</v>
      </c>
      <c r="E578" t="s">
        <v>11</v>
      </c>
      <c r="F578" t="s">
        <v>12</v>
      </c>
      <c r="G578">
        <v>1664.9996000000001</v>
      </c>
    </row>
    <row r="579" spans="1:7" x14ac:dyDescent="0.25">
      <c r="A579">
        <v>31</v>
      </c>
      <c r="B579" t="s">
        <v>7</v>
      </c>
      <c r="C579">
        <v>38.094999999999999</v>
      </c>
      <c r="D579">
        <v>1</v>
      </c>
      <c r="E579" t="s">
        <v>8</v>
      </c>
      <c r="F579" t="s">
        <v>14</v>
      </c>
      <c r="G579">
        <v>58571.074480000003</v>
      </c>
    </row>
    <row r="580" spans="1:7" x14ac:dyDescent="0.25">
      <c r="A580">
        <v>52</v>
      </c>
      <c r="B580" t="s">
        <v>10</v>
      </c>
      <c r="C580">
        <v>30.2</v>
      </c>
      <c r="D580">
        <v>1</v>
      </c>
      <c r="E580" t="s">
        <v>11</v>
      </c>
      <c r="F580" t="s">
        <v>9</v>
      </c>
      <c r="G580">
        <v>9724.5300000000007</v>
      </c>
    </row>
    <row r="581" spans="1:7" x14ac:dyDescent="0.25">
      <c r="A581">
        <v>25</v>
      </c>
      <c r="B581" t="s">
        <v>7</v>
      </c>
      <c r="C581">
        <v>23.465</v>
      </c>
      <c r="D581">
        <v>0</v>
      </c>
      <c r="E581" t="s">
        <v>11</v>
      </c>
      <c r="F581" t="s">
        <v>14</v>
      </c>
      <c r="G581">
        <v>3206.4913499999998</v>
      </c>
    </row>
    <row r="582" spans="1:7" x14ac:dyDescent="0.25">
      <c r="A582">
        <v>59</v>
      </c>
      <c r="B582" t="s">
        <v>10</v>
      </c>
      <c r="C582">
        <v>25.46</v>
      </c>
      <c r="D582">
        <v>1</v>
      </c>
      <c r="E582" t="s">
        <v>11</v>
      </c>
      <c r="F582" t="s">
        <v>14</v>
      </c>
      <c r="G582">
        <v>12913.992399999999</v>
      </c>
    </row>
    <row r="583" spans="1:7" x14ac:dyDescent="0.25">
      <c r="A583">
        <v>19</v>
      </c>
      <c r="B583" t="s">
        <v>10</v>
      </c>
      <c r="C583">
        <v>30.59</v>
      </c>
      <c r="D583">
        <v>0</v>
      </c>
      <c r="E583" t="s">
        <v>11</v>
      </c>
      <c r="F583" t="s">
        <v>13</v>
      </c>
      <c r="G583">
        <v>1639.5631000000001</v>
      </c>
    </row>
    <row r="584" spans="1:7" x14ac:dyDescent="0.25">
      <c r="A584">
        <v>39</v>
      </c>
      <c r="B584" t="s">
        <v>10</v>
      </c>
      <c r="C584">
        <v>45.43</v>
      </c>
      <c r="D584">
        <v>2</v>
      </c>
      <c r="E584" t="s">
        <v>11</v>
      </c>
      <c r="F584" t="s">
        <v>12</v>
      </c>
      <c r="G584">
        <v>6356.2707</v>
      </c>
    </row>
    <row r="585" spans="1:7" x14ac:dyDescent="0.25">
      <c r="A585">
        <v>32</v>
      </c>
      <c r="B585" t="s">
        <v>7</v>
      </c>
      <c r="C585">
        <v>23.65</v>
      </c>
      <c r="D585">
        <v>1</v>
      </c>
      <c r="E585" t="s">
        <v>11</v>
      </c>
      <c r="F585" t="s">
        <v>12</v>
      </c>
      <c r="G585">
        <v>17626.239509999999</v>
      </c>
    </row>
    <row r="586" spans="1:7" x14ac:dyDescent="0.25">
      <c r="A586">
        <v>19</v>
      </c>
      <c r="B586" t="s">
        <v>10</v>
      </c>
      <c r="C586">
        <v>20.7</v>
      </c>
      <c r="D586">
        <v>0</v>
      </c>
      <c r="E586" t="s">
        <v>11</v>
      </c>
      <c r="F586" t="s">
        <v>9</v>
      </c>
      <c r="G586">
        <v>1242.816</v>
      </c>
    </row>
    <row r="587" spans="1:7" x14ac:dyDescent="0.25">
      <c r="A587">
        <v>33</v>
      </c>
      <c r="B587" t="s">
        <v>7</v>
      </c>
      <c r="C587">
        <v>28.27</v>
      </c>
      <c r="D587">
        <v>1</v>
      </c>
      <c r="E587" t="s">
        <v>11</v>
      </c>
      <c r="F587" t="s">
        <v>12</v>
      </c>
      <c r="G587">
        <v>4779.6022999999996</v>
      </c>
    </row>
    <row r="588" spans="1:7" x14ac:dyDescent="0.25">
      <c r="A588">
        <v>21</v>
      </c>
      <c r="B588" t="s">
        <v>10</v>
      </c>
      <c r="C588">
        <v>20.234999999999999</v>
      </c>
      <c r="D588">
        <v>3</v>
      </c>
      <c r="E588" t="s">
        <v>11</v>
      </c>
      <c r="F588" t="s">
        <v>14</v>
      </c>
      <c r="G588">
        <v>3861.2096499999998</v>
      </c>
    </row>
    <row r="589" spans="1:7" x14ac:dyDescent="0.25">
      <c r="A589">
        <v>34</v>
      </c>
      <c r="B589" t="s">
        <v>7</v>
      </c>
      <c r="C589">
        <v>30.21</v>
      </c>
      <c r="D589">
        <v>1</v>
      </c>
      <c r="E589" t="s">
        <v>8</v>
      </c>
      <c r="F589" t="s">
        <v>13</v>
      </c>
      <c r="G589">
        <v>43943.876100000001</v>
      </c>
    </row>
    <row r="590" spans="1:7" x14ac:dyDescent="0.25">
      <c r="A590">
        <v>61</v>
      </c>
      <c r="B590" t="s">
        <v>7</v>
      </c>
      <c r="C590">
        <v>35.909999999999997</v>
      </c>
      <c r="D590">
        <v>0</v>
      </c>
      <c r="E590" t="s">
        <v>11</v>
      </c>
      <c r="F590" t="s">
        <v>14</v>
      </c>
      <c r="G590">
        <v>13635.6379</v>
      </c>
    </row>
    <row r="591" spans="1:7" x14ac:dyDescent="0.25">
      <c r="A591">
        <v>38</v>
      </c>
      <c r="B591" t="s">
        <v>7</v>
      </c>
      <c r="C591">
        <v>30.69</v>
      </c>
      <c r="D591">
        <v>1</v>
      </c>
      <c r="E591" t="s">
        <v>11</v>
      </c>
      <c r="F591" t="s">
        <v>12</v>
      </c>
      <c r="G591">
        <v>5976.8311000000003</v>
      </c>
    </row>
    <row r="592" spans="1:7" x14ac:dyDescent="0.25">
      <c r="A592">
        <v>58</v>
      </c>
      <c r="B592" t="s">
        <v>7</v>
      </c>
      <c r="C592">
        <v>29</v>
      </c>
      <c r="D592">
        <v>0</v>
      </c>
      <c r="E592" t="s">
        <v>11</v>
      </c>
      <c r="F592" t="s">
        <v>9</v>
      </c>
      <c r="G592">
        <v>11842.441999999999</v>
      </c>
    </row>
    <row r="593" spans="1:7" x14ac:dyDescent="0.25">
      <c r="A593">
        <v>47</v>
      </c>
      <c r="B593" t="s">
        <v>10</v>
      </c>
      <c r="C593">
        <v>19.57</v>
      </c>
      <c r="D593">
        <v>1</v>
      </c>
      <c r="E593" t="s">
        <v>11</v>
      </c>
      <c r="F593" t="s">
        <v>13</v>
      </c>
      <c r="G593">
        <v>8428.0692999999992</v>
      </c>
    </row>
    <row r="594" spans="1:7" x14ac:dyDescent="0.25">
      <c r="A594">
        <v>20</v>
      </c>
      <c r="B594" t="s">
        <v>10</v>
      </c>
      <c r="C594">
        <v>31.13</v>
      </c>
      <c r="D594">
        <v>2</v>
      </c>
      <c r="E594" t="s">
        <v>11</v>
      </c>
      <c r="F594" t="s">
        <v>12</v>
      </c>
      <c r="G594">
        <v>2566.4706999999999</v>
      </c>
    </row>
    <row r="595" spans="1:7" x14ac:dyDescent="0.25">
      <c r="A595">
        <v>21</v>
      </c>
      <c r="B595" t="s">
        <v>7</v>
      </c>
      <c r="C595">
        <v>21.85</v>
      </c>
      <c r="D595">
        <v>1</v>
      </c>
      <c r="E595" t="s">
        <v>8</v>
      </c>
      <c r="F595" t="s">
        <v>14</v>
      </c>
      <c r="G595">
        <v>15359.104499999999</v>
      </c>
    </row>
    <row r="596" spans="1:7" x14ac:dyDescent="0.25">
      <c r="A596">
        <v>41</v>
      </c>
      <c r="B596" t="s">
        <v>10</v>
      </c>
      <c r="C596">
        <v>40.26</v>
      </c>
      <c r="D596">
        <v>0</v>
      </c>
      <c r="E596" t="s">
        <v>11</v>
      </c>
      <c r="F596" t="s">
        <v>12</v>
      </c>
      <c r="G596">
        <v>5709.1643999999997</v>
      </c>
    </row>
    <row r="597" spans="1:7" x14ac:dyDescent="0.25">
      <c r="A597">
        <v>46</v>
      </c>
      <c r="B597" t="s">
        <v>7</v>
      </c>
      <c r="C597">
        <v>33.725000000000001</v>
      </c>
      <c r="D597">
        <v>1</v>
      </c>
      <c r="E597" t="s">
        <v>11</v>
      </c>
      <c r="F597" t="s">
        <v>14</v>
      </c>
      <c r="G597">
        <v>8823.9857499999998</v>
      </c>
    </row>
    <row r="598" spans="1:7" x14ac:dyDescent="0.25">
      <c r="A598">
        <v>42</v>
      </c>
      <c r="B598" t="s">
        <v>7</v>
      </c>
      <c r="C598">
        <v>29.48</v>
      </c>
      <c r="D598">
        <v>2</v>
      </c>
      <c r="E598" t="s">
        <v>11</v>
      </c>
      <c r="F598" t="s">
        <v>12</v>
      </c>
      <c r="G598">
        <v>7640.3091999999997</v>
      </c>
    </row>
    <row r="599" spans="1:7" x14ac:dyDescent="0.25">
      <c r="A599">
        <v>34</v>
      </c>
      <c r="B599" t="s">
        <v>7</v>
      </c>
      <c r="C599">
        <v>33.25</v>
      </c>
      <c r="D599">
        <v>1</v>
      </c>
      <c r="E599" t="s">
        <v>11</v>
      </c>
      <c r="F599" t="s">
        <v>14</v>
      </c>
      <c r="G599">
        <v>5594.8455000000004</v>
      </c>
    </row>
    <row r="600" spans="1:7" x14ac:dyDescent="0.25">
      <c r="A600">
        <v>43</v>
      </c>
      <c r="B600" t="s">
        <v>10</v>
      </c>
      <c r="C600">
        <v>32.6</v>
      </c>
      <c r="D600">
        <v>2</v>
      </c>
      <c r="E600" t="s">
        <v>11</v>
      </c>
      <c r="F600" t="s">
        <v>9</v>
      </c>
      <c r="G600">
        <v>7441.5010000000002</v>
      </c>
    </row>
    <row r="601" spans="1:7" x14ac:dyDescent="0.25">
      <c r="A601">
        <v>52</v>
      </c>
      <c r="B601" t="s">
        <v>7</v>
      </c>
      <c r="C601">
        <v>37.524999999999999</v>
      </c>
      <c r="D601">
        <v>2</v>
      </c>
      <c r="E601" t="s">
        <v>11</v>
      </c>
      <c r="F601" t="s">
        <v>13</v>
      </c>
      <c r="G601">
        <v>33471.971890000001</v>
      </c>
    </row>
    <row r="602" spans="1:7" x14ac:dyDescent="0.25">
      <c r="A602">
        <v>18</v>
      </c>
      <c r="B602" t="s">
        <v>7</v>
      </c>
      <c r="C602">
        <v>39.159999999999997</v>
      </c>
      <c r="D602">
        <v>0</v>
      </c>
      <c r="E602" t="s">
        <v>11</v>
      </c>
      <c r="F602" t="s">
        <v>12</v>
      </c>
      <c r="G602">
        <v>1633.0444</v>
      </c>
    </row>
    <row r="603" spans="1:7" x14ac:dyDescent="0.25">
      <c r="A603">
        <v>51</v>
      </c>
      <c r="B603" t="s">
        <v>10</v>
      </c>
      <c r="C603">
        <v>31.635000000000002</v>
      </c>
      <c r="D603">
        <v>0</v>
      </c>
      <c r="E603" t="s">
        <v>11</v>
      </c>
      <c r="F603" t="s">
        <v>13</v>
      </c>
      <c r="G603">
        <v>9174.1356500000002</v>
      </c>
    </row>
    <row r="604" spans="1:7" x14ac:dyDescent="0.25">
      <c r="A604">
        <v>56</v>
      </c>
      <c r="B604" t="s">
        <v>7</v>
      </c>
      <c r="C604">
        <v>25.3</v>
      </c>
      <c r="D604">
        <v>0</v>
      </c>
      <c r="E604" t="s">
        <v>11</v>
      </c>
      <c r="F604" t="s">
        <v>9</v>
      </c>
      <c r="G604">
        <v>11070.535</v>
      </c>
    </row>
    <row r="605" spans="1:7" x14ac:dyDescent="0.25">
      <c r="A605">
        <v>64</v>
      </c>
      <c r="B605" t="s">
        <v>7</v>
      </c>
      <c r="C605">
        <v>39.049999999999997</v>
      </c>
      <c r="D605">
        <v>3</v>
      </c>
      <c r="E605" t="s">
        <v>11</v>
      </c>
      <c r="F605" t="s">
        <v>12</v>
      </c>
      <c r="G605">
        <v>16085.127500000001</v>
      </c>
    </row>
    <row r="606" spans="1:7" x14ac:dyDescent="0.25">
      <c r="A606">
        <v>19</v>
      </c>
      <c r="B606" t="s">
        <v>7</v>
      </c>
      <c r="C606">
        <v>28.31</v>
      </c>
      <c r="D606">
        <v>0</v>
      </c>
      <c r="E606" t="s">
        <v>8</v>
      </c>
      <c r="F606" t="s">
        <v>13</v>
      </c>
      <c r="G606">
        <v>17468.983899999999</v>
      </c>
    </row>
    <row r="607" spans="1:7" x14ac:dyDescent="0.25">
      <c r="A607">
        <v>51</v>
      </c>
      <c r="B607" t="s">
        <v>7</v>
      </c>
      <c r="C607">
        <v>34.1</v>
      </c>
      <c r="D607">
        <v>0</v>
      </c>
      <c r="E607" t="s">
        <v>11</v>
      </c>
      <c r="F607" t="s">
        <v>12</v>
      </c>
      <c r="G607">
        <v>9283.5619999999999</v>
      </c>
    </row>
    <row r="608" spans="1:7" x14ac:dyDescent="0.25">
      <c r="A608">
        <v>27</v>
      </c>
      <c r="B608" t="s">
        <v>7</v>
      </c>
      <c r="C608">
        <v>25.175000000000001</v>
      </c>
      <c r="D608">
        <v>0</v>
      </c>
      <c r="E608" t="s">
        <v>11</v>
      </c>
      <c r="F608" t="s">
        <v>14</v>
      </c>
      <c r="G608">
        <v>3558.6202499999999</v>
      </c>
    </row>
    <row r="609" spans="1:7" x14ac:dyDescent="0.25">
      <c r="A609">
        <v>59</v>
      </c>
      <c r="B609" t="s">
        <v>7</v>
      </c>
      <c r="C609">
        <v>23.655000000000001</v>
      </c>
      <c r="D609">
        <v>0</v>
      </c>
      <c r="E609" t="s">
        <v>8</v>
      </c>
      <c r="F609" t="s">
        <v>13</v>
      </c>
      <c r="G609">
        <v>25678.778450000002</v>
      </c>
    </row>
    <row r="610" spans="1:7" x14ac:dyDescent="0.25">
      <c r="A610">
        <v>28</v>
      </c>
      <c r="B610" t="s">
        <v>10</v>
      </c>
      <c r="C610">
        <v>26.98</v>
      </c>
      <c r="D610">
        <v>2</v>
      </c>
      <c r="E610" t="s">
        <v>11</v>
      </c>
      <c r="F610" t="s">
        <v>14</v>
      </c>
      <c r="G610">
        <v>4435.0941999999995</v>
      </c>
    </row>
    <row r="611" spans="1:7" x14ac:dyDescent="0.25">
      <c r="A611">
        <v>30</v>
      </c>
      <c r="B611" t="s">
        <v>10</v>
      </c>
      <c r="C611">
        <v>37.799999999999997</v>
      </c>
      <c r="D611">
        <v>2</v>
      </c>
      <c r="E611" t="s">
        <v>8</v>
      </c>
      <c r="F611" t="s">
        <v>9</v>
      </c>
      <c r="G611">
        <v>39241.442000000003</v>
      </c>
    </row>
    <row r="612" spans="1:7" x14ac:dyDescent="0.25">
      <c r="A612">
        <v>47</v>
      </c>
      <c r="B612" t="s">
        <v>7</v>
      </c>
      <c r="C612">
        <v>29.37</v>
      </c>
      <c r="D612">
        <v>1</v>
      </c>
      <c r="E612" t="s">
        <v>11</v>
      </c>
      <c r="F612" t="s">
        <v>12</v>
      </c>
      <c r="G612">
        <v>8547.6913000000004</v>
      </c>
    </row>
    <row r="613" spans="1:7" x14ac:dyDescent="0.25">
      <c r="A613">
        <v>38</v>
      </c>
      <c r="B613" t="s">
        <v>7</v>
      </c>
      <c r="C613">
        <v>34.799999999999997</v>
      </c>
      <c r="D613">
        <v>2</v>
      </c>
      <c r="E613" t="s">
        <v>11</v>
      </c>
      <c r="F613" t="s">
        <v>9</v>
      </c>
      <c r="G613">
        <v>6571.5439999999999</v>
      </c>
    </row>
    <row r="614" spans="1:7" x14ac:dyDescent="0.25">
      <c r="A614">
        <v>18</v>
      </c>
      <c r="B614" t="s">
        <v>7</v>
      </c>
      <c r="C614">
        <v>33.155000000000001</v>
      </c>
      <c r="D614">
        <v>0</v>
      </c>
      <c r="E614" t="s">
        <v>11</v>
      </c>
      <c r="F614" t="s">
        <v>14</v>
      </c>
      <c r="G614">
        <v>2207.6974500000001</v>
      </c>
    </row>
    <row r="615" spans="1:7" x14ac:dyDescent="0.25">
      <c r="A615">
        <v>34</v>
      </c>
      <c r="B615" t="s">
        <v>7</v>
      </c>
      <c r="C615">
        <v>19</v>
      </c>
      <c r="D615">
        <v>3</v>
      </c>
      <c r="E615" t="s">
        <v>11</v>
      </c>
      <c r="F615" t="s">
        <v>14</v>
      </c>
      <c r="G615">
        <v>6753.0379999999996</v>
      </c>
    </row>
    <row r="616" spans="1:7" x14ac:dyDescent="0.25">
      <c r="A616">
        <v>20</v>
      </c>
      <c r="B616" t="s">
        <v>7</v>
      </c>
      <c r="C616">
        <v>33</v>
      </c>
      <c r="D616">
        <v>0</v>
      </c>
      <c r="E616" t="s">
        <v>11</v>
      </c>
      <c r="F616" t="s">
        <v>12</v>
      </c>
      <c r="G616">
        <v>1880.07</v>
      </c>
    </row>
    <row r="617" spans="1:7" x14ac:dyDescent="0.25">
      <c r="A617">
        <v>47</v>
      </c>
      <c r="B617" t="s">
        <v>7</v>
      </c>
      <c r="C617">
        <v>36.630000000000003</v>
      </c>
      <c r="D617">
        <v>1</v>
      </c>
      <c r="E617" t="s">
        <v>8</v>
      </c>
      <c r="F617" t="s">
        <v>12</v>
      </c>
      <c r="G617">
        <v>42969.852700000003</v>
      </c>
    </row>
    <row r="618" spans="1:7" x14ac:dyDescent="0.25">
      <c r="A618">
        <v>56</v>
      </c>
      <c r="B618" t="s">
        <v>7</v>
      </c>
      <c r="C618">
        <v>28.594999999999999</v>
      </c>
      <c r="D618">
        <v>0</v>
      </c>
      <c r="E618" t="s">
        <v>11</v>
      </c>
      <c r="F618" t="s">
        <v>14</v>
      </c>
      <c r="G618">
        <v>11658.11505</v>
      </c>
    </row>
    <row r="619" spans="1:7" x14ac:dyDescent="0.25">
      <c r="A619">
        <v>49</v>
      </c>
      <c r="B619" t="s">
        <v>10</v>
      </c>
      <c r="C619">
        <v>25.6</v>
      </c>
      <c r="D619">
        <v>2</v>
      </c>
      <c r="E619" t="s">
        <v>8</v>
      </c>
      <c r="F619" t="s">
        <v>9</v>
      </c>
      <c r="G619">
        <v>23306.546999999999</v>
      </c>
    </row>
    <row r="620" spans="1:7" x14ac:dyDescent="0.25">
      <c r="A620">
        <v>19</v>
      </c>
      <c r="B620" t="s">
        <v>7</v>
      </c>
      <c r="C620">
        <v>33.11</v>
      </c>
      <c r="D620">
        <v>0</v>
      </c>
      <c r="E620" t="s">
        <v>8</v>
      </c>
      <c r="F620" t="s">
        <v>12</v>
      </c>
      <c r="G620">
        <v>34439.855900000002</v>
      </c>
    </row>
    <row r="621" spans="1:7" x14ac:dyDescent="0.25">
      <c r="A621">
        <v>55</v>
      </c>
      <c r="B621" t="s">
        <v>7</v>
      </c>
      <c r="C621">
        <v>37.1</v>
      </c>
      <c r="D621">
        <v>0</v>
      </c>
      <c r="E621" t="s">
        <v>11</v>
      </c>
      <c r="F621" t="s">
        <v>9</v>
      </c>
      <c r="G621">
        <v>10713.644</v>
      </c>
    </row>
    <row r="622" spans="1:7" x14ac:dyDescent="0.25">
      <c r="A622">
        <v>30</v>
      </c>
      <c r="B622" t="s">
        <v>10</v>
      </c>
      <c r="C622">
        <v>31.4</v>
      </c>
      <c r="D622">
        <v>1</v>
      </c>
      <c r="E622" t="s">
        <v>11</v>
      </c>
      <c r="F622" t="s">
        <v>9</v>
      </c>
      <c r="G622">
        <v>3659.346</v>
      </c>
    </row>
    <row r="623" spans="1:7" x14ac:dyDescent="0.25">
      <c r="A623">
        <v>37</v>
      </c>
      <c r="B623" t="s">
        <v>10</v>
      </c>
      <c r="C623">
        <v>34.1</v>
      </c>
      <c r="D623">
        <v>4</v>
      </c>
      <c r="E623" t="s">
        <v>8</v>
      </c>
      <c r="F623" t="s">
        <v>9</v>
      </c>
      <c r="G623">
        <v>40182.245999999999</v>
      </c>
    </row>
    <row r="624" spans="1:7" x14ac:dyDescent="0.25">
      <c r="A624">
        <v>49</v>
      </c>
      <c r="B624" t="s">
        <v>7</v>
      </c>
      <c r="C624">
        <v>21.3</v>
      </c>
      <c r="D624">
        <v>1</v>
      </c>
      <c r="E624" t="s">
        <v>11</v>
      </c>
      <c r="F624" t="s">
        <v>9</v>
      </c>
      <c r="G624">
        <v>9182.17</v>
      </c>
    </row>
    <row r="625" spans="1:7" x14ac:dyDescent="0.25">
      <c r="A625">
        <v>18</v>
      </c>
      <c r="B625" t="s">
        <v>10</v>
      </c>
      <c r="C625">
        <v>33.534999999999997</v>
      </c>
      <c r="D625">
        <v>0</v>
      </c>
      <c r="E625" t="s">
        <v>8</v>
      </c>
      <c r="F625" t="s">
        <v>14</v>
      </c>
      <c r="G625">
        <v>34617.840649999998</v>
      </c>
    </row>
    <row r="626" spans="1:7" x14ac:dyDescent="0.25">
      <c r="A626">
        <v>59</v>
      </c>
      <c r="B626" t="s">
        <v>10</v>
      </c>
      <c r="C626">
        <v>28.785</v>
      </c>
      <c r="D626">
        <v>0</v>
      </c>
      <c r="E626" t="s">
        <v>11</v>
      </c>
      <c r="F626" t="s">
        <v>13</v>
      </c>
      <c r="G626">
        <v>12129.614149999999</v>
      </c>
    </row>
    <row r="627" spans="1:7" x14ac:dyDescent="0.25">
      <c r="A627">
        <v>29</v>
      </c>
      <c r="B627" t="s">
        <v>7</v>
      </c>
      <c r="C627">
        <v>26.03</v>
      </c>
      <c r="D627">
        <v>0</v>
      </c>
      <c r="E627" t="s">
        <v>11</v>
      </c>
      <c r="F627" t="s">
        <v>13</v>
      </c>
      <c r="G627">
        <v>3736.4647</v>
      </c>
    </row>
    <row r="628" spans="1:7" x14ac:dyDescent="0.25">
      <c r="A628">
        <v>36</v>
      </c>
      <c r="B628" t="s">
        <v>10</v>
      </c>
      <c r="C628">
        <v>28.88</v>
      </c>
      <c r="D628">
        <v>3</v>
      </c>
      <c r="E628" t="s">
        <v>11</v>
      </c>
      <c r="F628" t="s">
        <v>14</v>
      </c>
      <c r="G628">
        <v>6748.5911999999998</v>
      </c>
    </row>
    <row r="629" spans="1:7" x14ac:dyDescent="0.25">
      <c r="A629">
        <v>33</v>
      </c>
      <c r="B629" t="s">
        <v>10</v>
      </c>
      <c r="C629">
        <v>42.46</v>
      </c>
      <c r="D629">
        <v>1</v>
      </c>
      <c r="E629" t="s">
        <v>11</v>
      </c>
      <c r="F629" t="s">
        <v>12</v>
      </c>
      <c r="G629">
        <v>11326.71487</v>
      </c>
    </row>
    <row r="630" spans="1:7" x14ac:dyDescent="0.25">
      <c r="A630">
        <v>58</v>
      </c>
      <c r="B630" t="s">
        <v>10</v>
      </c>
      <c r="C630">
        <v>38</v>
      </c>
      <c r="D630">
        <v>0</v>
      </c>
      <c r="E630" t="s">
        <v>11</v>
      </c>
      <c r="F630" t="s">
        <v>9</v>
      </c>
      <c r="G630">
        <v>11365.951999999999</v>
      </c>
    </row>
    <row r="631" spans="1:7" x14ac:dyDescent="0.25">
      <c r="A631">
        <v>44</v>
      </c>
      <c r="B631" t="s">
        <v>7</v>
      </c>
      <c r="C631">
        <v>38.950000000000003</v>
      </c>
      <c r="D631">
        <v>0</v>
      </c>
      <c r="E631" t="s">
        <v>8</v>
      </c>
      <c r="F631" t="s">
        <v>13</v>
      </c>
      <c r="G631">
        <v>42983.458500000001</v>
      </c>
    </row>
    <row r="632" spans="1:7" x14ac:dyDescent="0.25">
      <c r="A632">
        <v>53</v>
      </c>
      <c r="B632" t="s">
        <v>10</v>
      </c>
      <c r="C632">
        <v>36.1</v>
      </c>
      <c r="D632">
        <v>1</v>
      </c>
      <c r="E632" t="s">
        <v>11</v>
      </c>
      <c r="F632" t="s">
        <v>9</v>
      </c>
      <c r="G632">
        <v>10085.846</v>
      </c>
    </row>
    <row r="633" spans="1:7" x14ac:dyDescent="0.25">
      <c r="A633">
        <v>24</v>
      </c>
      <c r="B633" t="s">
        <v>10</v>
      </c>
      <c r="C633">
        <v>29.3</v>
      </c>
      <c r="D633">
        <v>0</v>
      </c>
      <c r="E633" t="s">
        <v>11</v>
      </c>
      <c r="F633" t="s">
        <v>9</v>
      </c>
      <c r="G633">
        <v>1977.8150000000001</v>
      </c>
    </row>
    <row r="634" spans="1:7" x14ac:dyDescent="0.25">
      <c r="A634">
        <v>29</v>
      </c>
      <c r="B634" t="s">
        <v>7</v>
      </c>
      <c r="C634">
        <v>35.53</v>
      </c>
      <c r="D634">
        <v>0</v>
      </c>
      <c r="E634" t="s">
        <v>11</v>
      </c>
      <c r="F634" t="s">
        <v>12</v>
      </c>
      <c r="G634">
        <v>3366.6696999999999</v>
      </c>
    </row>
    <row r="635" spans="1:7" x14ac:dyDescent="0.25">
      <c r="A635">
        <v>40</v>
      </c>
      <c r="B635" t="s">
        <v>10</v>
      </c>
      <c r="C635">
        <v>22.704999999999998</v>
      </c>
      <c r="D635">
        <v>2</v>
      </c>
      <c r="E635" t="s">
        <v>11</v>
      </c>
      <c r="F635" t="s">
        <v>14</v>
      </c>
      <c r="G635">
        <v>7173.35995</v>
      </c>
    </row>
    <row r="636" spans="1:7" x14ac:dyDescent="0.25">
      <c r="A636">
        <v>51</v>
      </c>
      <c r="B636" t="s">
        <v>10</v>
      </c>
      <c r="C636">
        <v>39.700000000000003</v>
      </c>
      <c r="D636">
        <v>1</v>
      </c>
      <c r="E636" t="s">
        <v>11</v>
      </c>
      <c r="F636" t="s">
        <v>9</v>
      </c>
      <c r="G636">
        <v>9391.3459999999995</v>
      </c>
    </row>
    <row r="637" spans="1:7" x14ac:dyDescent="0.25">
      <c r="A637">
        <v>64</v>
      </c>
      <c r="B637" t="s">
        <v>10</v>
      </c>
      <c r="C637">
        <v>38.19</v>
      </c>
      <c r="D637">
        <v>0</v>
      </c>
      <c r="E637" t="s">
        <v>11</v>
      </c>
      <c r="F637" t="s">
        <v>14</v>
      </c>
      <c r="G637">
        <v>14410.9321</v>
      </c>
    </row>
    <row r="638" spans="1:7" x14ac:dyDescent="0.25">
      <c r="A638">
        <v>19</v>
      </c>
      <c r="B638" t="s">
        <v>7</v>
      </c>
      <c r="C638">
        <v>24.51</v>
      </c>
      <c r="D638">
        <v>1</v>
      </c>
      <c r="E638" t="s">
        <v>11</v>
      </c>
      <c r="F638" t="s">
        <v>13</v>
      </c>
      <c r="G638">
        <v>2709.1118999999999</v>
      </c>
    </row>
    <row r="639" spans="1:7" x14ac:dyDescent="0.25">
      <c r="A639">
        <v>35</v>
      </c>
      <c r="B639" t="s">
        <v>7</v>
      </c>
      <c r="C639">
        <v>38.094999999999999</v>
      </c>
      <c r="D639">
        <v>2</v>
      </c>
      <c r="E639" t="s">
        <v>11</v>
      </c>
      <c r="F639" t="s">
        <v>14</v>
      </c>
      <c r="G639">
        <v>24915.046259999999</v>
      </c>
    </row>
    <row r="640" spans="1:7" x14ac:dyDescent="0.25">
      <c r="A640">
        <v>39</v>
      </c>
      <c r="B640" t="s">
        <v>10</v>
      </c>
      <c r="C640">
        <v>26.41</v>
      </c>
      <c r="D640">
        <v>0</v>
      </c>
      <c r="E640" t="s">
        <v>8</v>
      </c>
      <c r="F640" t="s">
        <v>14</v>
      </c>
      <c r="G640">
        <v>20149.322899999999</v>
      </c>
    </row>
    <row r="641" spans="1:7" x14ac:dyDescent="0.25">
      <c r="A641">
        <v>56</v>
      </c>
      <c r="B641" t="s">
        <v>10</v>
      </c>
      <c r="C641">
        <v>33.659999999999997</v>
      </c>
      <c r="D641">
        <v>4</v>
      </c>
      <c r="E641" t="s">
        <v>11</v>
      </c>
      <c r="F641" t="s">
        <v>12</v>
      </c>
      <c r="G641">
        <v>12949.1554</v>
      </c>
    </row>
    <row r="642" spans="1:7" x14ac:dyDescent="0.25">
      <c r="A642">
        <v>33</v>
      </c>
      <c r="B642" t="s">
        <v>10</v>
      </c>
      <c r="C642">
        <v>42.4</v>
      </c>
      <c r="D642">
        <v>5</v>
      </c>
      <c r="E642" t="s">
        <v>11</v>
      </c>
      <c r="F642" t="s">
        <v>9</v>
      </c>
      <c r="G642">
        <v>6666.2430000000004</v>
      </c>
    </row>
    <row r="643" spans="1:7" x14ac:dyDescent="0.25">
      <c r="A643">
        <v>42</v>
      </c>
      <c r="B643" t="s">
        <v>10</v>
      </c>
      <c r="C643">
        <v>28.31</v>
      </c>
      <c r="D643">
        <v>3</v>
      </c>
      <c r="E643" t="s">
        <v>8</v>
      </c>
      <c r="F643" t="s">
        <v>13</v>
      </c>
      <c r="G643">
        <v>32787.458590000002</v>
      </c>
    </row>
    <row r="644" spans="1:7" x14ac:dyDescent="0.25">
      <c r="A644">
        <v>61</v>
      </c>
      <c r="B644" t="s">
        <v>10</v>
      </c>
      <c r="C644">
        <v>33.914999999999999</v>
      </c>
      <c r="D644">
        <v>0</v>
      </c>
      <c r="E644" t="s">
        <v>11</v>
      </c>
      <c r="F644" t="s">
        <v>14</v>
      </c>
      <c r="G644">
        <v>13143.86485</v>
      </c>
    </row>
    <row r="645" spans="1:7" x14ac:dyDescent="0.25">
      <c r="A645">
        <v>23</v>
      </c>
      <c r="B645" t="s">
        <v>7</v>
      </c>
      <c r="C645">
        <v>34.96</v>
      </c>
      <c r="D645">
        <v>3</v>
      </c>
      <c r="E645" t="s">
        <v>11</v>
      </c>
      <c r="F645" t="s">
        <v>13</v>
      </c>
      <c r="G645">
        <v>4466.6214</v>
      </c>
    </row>
    <row r="646" spans="1:7" x14ac:dyDescent="0.25">
      <c r="A646">
        <v>43</v>
      </c>
      <c r="B646" t="s">
        <v>10</v>
      </c>
      <c r="C646">
        <v>35.31</v>
      </c>
      <c r="D646">
        <v>2</v>
      </c>
      <c r="E646" t="s">
        <v>11</v>
      </c>
      <c r="F646" t="s">
        <v>12</v>
      </c>
      <c r="G646">
        <v>18806.145469999999</v>
      </c>
    </row>
    <row r="647" spans="1:7" x14ac:dyDescent="0.25">
      <c r="A647">
        <v>48</v>
      </c>
      <c r="B647" t="s">
        <v>10</v>
      </c>
      <c r="C647">
        <v>30.78</v>
      </c>
      <c r="D647">
        <v>3</v>
      </c>
      <c r="E647" t="s">
        <v>11</v>
      </c>
      <c r="F647" t="s">
        <v>14</v>
      </c>
      <c r="G647">
        <v>10141.136200000001</v>
      </c>
    </row>
    <row r="648" spans="1:7" x14ac:dyDescent="0.25">
      <c r="A648">
        <v>39</v>
      </c>
      <c r="B648" t="s">
        <v>10</v>
      </c>
      <c r="C648">
        <v>26.22</v>
      </c>
      <c r="D648">
        <v>1</v>
      </c>
      <c r="E648" t="s">
        <v>11</v>
      </c>
      <c r="F648" t="s">
        <v>13</v>
      </c>
      <c r="G648">
        <v>6123.5688</v>
      </c>
    </row>
    <row r="649" spans="1:7" x14ac:dyDescent="0.25">
      <c r="A649">
        <v>40</v>
      </c>
      <c r="B649" t="s">
        <v>7</v>
      </c>
      <c r="C649">
        <v>23.37</v>
      </c>
      <c r="D649">
        <v>3</v>
      </c>
      <c r="E649" t="s">
        <v>11</v>
      </c>
      <c r="F649" t="s">
        <v>14</v>
      </c>
      <c r="G649">
        <v>8252.2842999999993</v>
      </c>
    </row>
    <row r="650" spans="1:7" x14ac:dyDescent="0.25">
      <c r="A650">
        <v>18</v>
      </c>
      <c r="B650" t="s">
        <v>10</v>
      </c>
      <c r="C650">
        <v>28.5</v>
      </c>
      <c r="D650">
        <v>0</v>
      </c>
      <c r="E650" t="s">
        <v>11</v>
      </c>
      <c r="F650" t="s">
        <v>14</v>
      </c>
      <c r="G650">
        <v>1712.2270000000001</v>
      </c>
    </row>
    <row r="651" spans="1:7" x14ac:dyDescent="0.25">
      <c r="A651">
        <v>58</v>
      </c>
      <c r="B651" t="s">
        <v>7</v>
      </c>
      <c r="C651">
        <v>32.965000000000003</v>
      </c>
      <c r="D651">
        <v>0</v>
      </c>
      <c r="E651" t="s">
        <v>11</v>
      </c>
      <c r="F651" t="s">
        <v>14</v>
      </c>
      <c r="G651">
        <v>12430.95335</v>
      </c>
    </row>
    <row r="652" spans="1:7" x14ac:dyDescent="0.25">
      <c r="A652">
        <v>49</v>
      </c>
      <c r="B652" t="s">
        <v>7</v>
      </c>
      <c r="C652">
        <v>42.68</v>
      </c>
      <c r="D652">
        <v>2</v>
      </c>
      <c r="E652" t="s">
        <v>11</v>
      </c>
      <c r="F652" t="s">
        <v>12</v>
      </c>
      <c r="G652">
        <v>9800.8881999999994</v>
      </c>
    </row>
    <row r="653" spans="1:7" x14ac:dyDescent="0.25">
      <c r="A653">
        <v>53</v>
      </c>
      <c r="B653" t="s">
        <v>7</v>
      </c>
      <c r="C653">
        <v>39.6</v>
      </c>
      <c r="D653">
        <v>1</v>
      </c>
      <c r="E653" t="s">
        <v>11</v>
      </c>
      <c r="F653" t="s">
        <v>12</v>
      </c>
      <c r="G653">
        <v>10579.710999999999</v>
      </c>
    </row>
    <row r="654" spans="1:7" x14ac:dyDescent="0.25">
      <c r="A654">
        <v>48</v>
      </c>
      <c r="B654" t="s">
        <v>7</v>
      </c>
      <c r="C654">
        <v>31.13</v>
      </c>
      <c r="D654">
        <v>0</v>
      </c>
      <c r="E654" t="s">
        <v>11</v>
      </c>
      <c r="F654" t="s">
        <v>12</v>
      </c>
      <c r="G654">
        <v>8280.6226999999999</v>
      </c>
    </row>
    <row r="655" spans="1:7" x14ac:dyDescent="0.25">
      <c r="A655">
        <v>45</v>
      </c>
      <c r="B655" t="s">
        <v>7</v>
      </c>
      <c r="C655">
        <v>36.299999999999997</v>
      </c>
      <c r="D655">
        <v>2</v>
      </c>
      <c r="E655" t="s">
        <v>11</v>
      </c>
      <c r="F655" t="s">
        <v>12</v>
      </c>
      <c r="G655">
        <v>8527.5319999999992</v>
      </c>
    </row>
    <row r="656" spans="1:7" x14ac:dyDescent="0.25">
      <c r="A656">
        <v>59</v>
      </c>
      <c r="B656" t="s">
        <v>7</v>
      </c>
      <c r="C656">
        <v>35.200000000000003</v>
      </c>
      <c r="D656">
        <v>0</v>
      </c>
      <c r="E656" t="s">
        <v>11</v>
      </c>
      <c r="F656" t="s">
        <v>12</v>
      </c>
      <c r="G656">
        <v>12244.531000000001</v>
      </c>
    </row>
    <row r="657" spans="1:7" x14ac:dyDescent="0.25">
      <c r="A657">
        <v>52</v>
      </c>
      <c r="B657" t="s">
        <v>7</v>
      </c>
      <c r="C657">
        <v>25.3</v>
      </c>
      <c r="D657">
        <v>2</v>
      </c>
      <c r="E657" t="s">
        <v>8</v>
      </c>
      <c r="F657" t="s">
        <v>12</v>
      </c>
      <c r="G657">
        <v>24667.419000000002</v>
      </c>
    </row>
    <row r="658" spans="1:7" x14ac:dyDescent="0.25">
      <c r="A658">
        <v>26</v>
      </c>
      <c r="B658" t="s">
        <v>7</v>
      </c>
      <c r="C658">
        <v>42.4</v>
      </c>
      <c r="D658">
        <v>1</v>
      </c>
      <c r="E658" t="s">
        <v>11</v>
      </c>
      <c r="F658" t="s">
        <v>9</v>
      </c>
      <c r="G658">
        <v>3410.3240000000001</v>
      </c>
    </row>
    <row r="659" spans="1:7" x14ac:dyDescent="0.25">
      <c r="A659">
        <v>27</v>
      </c>
      <c r="B659" t="s">
        <v>10</v>
      </c>
      <c r="C659">
        <v>33.155000000000001</v>
      </c>
      <c r="D659">
        <v>2</v>
      </c>
      <c r="E659" t="s">
        <v>11</v>
      </c>
      <c r="F659" t="s">
        <v>13</v>
      </c>
      <c r="G659">
        <v>4058.71245</v>
      </c>
    </row>
    <row r="660" spans="1:7" x14ac:dyDescent="0.25">
      <c r="A660">
        <v>48</v>
      </c>
      <c r="B660" t="s">
        <v>7</v>
      </c>
      <c r="C660">
        <v>35.909999999999997</v>
      </c>
      <c r="D660">
        <v>1</v>
      </c>
      <c r="E660" t="s">
        <v>11</v>
      </c>
      <c r="F660" t="s">
        <v>14</v>
      </c>
      <c r="G660">
        <v>26392.260289999998</v>
      </c>
    </row>
    <row r="661" spans="1:7" x14ac:dyDescent="0.25">
      <c r="A661">
        <v>57</v>
      </c>
      <c r="B661" t="s">
        <v>7</v>
      </c>
      <c r="C661">
        <v>28.785</v>
      </c>
      <c r="D661">
        <v>4</v>
      </c>
      <c r="E661" t="s">
        <v>11</v>
      </c>
      <c r="F661" t="s">
        <v>14</v>
      </c>
      <c r="G661">
        <v>14394.398150000001</v>
      </c>
    </row>
    <row r="662" spans="1:7" x14ac:dyDescent="0.25">
      <c r="A662">
        <v>37</v>
      </c>
      <c r="B662" t="s">
        <v>10</v>
      </c>
      <c r="C662">
        <v>46.53</v>
      </c>
      <c r="D662">
        <v>3</v>
      </c>
      <c r="E662" t="s">
        <v>11</v>
      </c>
      <c r="F662" t="s">
        <v>12</v>
      </c>
      <c r="G662">
        <v>6435.6237000000001</v>
      </c>
    </row>
    <row r="663" spans="1:7" x14ac:dyDescent="0.25">
      <c r="A663">
        <v>57</v>
      </c>
      <c r="B663" t="s">
        <v>7</v>
      </c>
      <c r="C663">
        <v>23.98</v>
      </c>
      <c r="D663">
        <v>1</v>
      </c>
      <c r="E663" t="s">
        <v>11</v>
      </c>
      <c r="F663" t="s">
        <v>12</v>
      </c>
      <c r="G663">
        <v>22192.437109999999</v>
      </c>
    </row>
    <row r="664" spans="1:7" x14ac:dyDescent="0.25">
      <c r="A664">
        <v>32</v>
      </c>
      <c r="B664" t="s">
        <v>7</v>
      </c>
      <c r="C664">
        <v>31.54</v>
      </c>
      <c r="D664">
        <v>1</v>
      </c>
      <c r="E664" t="s">
        <v>11</v>
      </c>
      <c r="F664" t="s">
        <v>14</v>
      </c>
      <c r="G664">
        <v>5148.5526</v>
      </c>
    </row>
    <row r="665" spans="1:7" x14ac:dyDescent="0.25">
      <c r="A665">
        <v>18</v>
      </c>
      <c r="B665" t="s">
        <v>10</v>
      </c>
      <c r="C665">
        <v>33.659999999999997</v>
      </c>
      <c r="D665">
        <v>0</v>
      </c>
      <c r="E665" t="s">
        <v>11</v>
      </c>
      <c r="F665" t="s">
        <v>12</v>
      </c>
      <c r="G665">
        <v>1136.3994</v>
      </c>
    </row>
    <row r="666" spans="1:7" x14ac:dyDescent="0.25">
      <c r="A666">
        <v>64</v>
      </c>
      <c r="B666" t="s">
        <v>7</v>
      </c>
      <c r="C666">
        <v>22.99</v>
      </c>
      <c r="D666">
        <v>0</v>
      </c>
      <c r="E666" t="s">
        <v>8</v>
      </c>
      <c r="F666" t="s">
        <v>12</v>
      </c>
      <c r="G666">
        <v>27037.914100000002</v>
      </c>
    </row>
    <row r="667" spans="1:7" x14ac:dyDescent="0.25">
      <c r="A667">
        <v>43</v>
      </c>
      <c r="B667" t="s">
        <v>10</v>
      </c>
      <c r="C667">
        <v>38.06</v>
      </c>
      <c r="D667">
        <v>2</v>
      </c>
      <c r="E667" t="s">
        <v>8</v>
      </c>
      <c r="F667" t="s">
        <v>12</v>
      </c>
      <c r="G667">
        <v>42560.430399999997</v>
      </c>
    </row>
    <row r="668" spans="1:7" x14ac:dyDescent="0.25">
      <c r="A668">
        <v>49</v>
      </c>
      <c r="B668" t="s">
        <v>10</v>
      </c>
      <c r="C668">
        <v>28.7</v>
      </c>
      <c r="D668">
        <v>1</v>
      </c>
      <c r="E668" t="s">
        <v>11</v>
      </c>
      <c r="F668" t="s">
        <v>9</v>
      </c>
      <c r="G668">
        <v>8703.4560000000001</v>
      </c>
    </row>
    <row r="669" spans="1:7" x14ac:dyDescent="0.25">
      <c r="A669">
        <v>40</v>
      </c>
      <c r="B669" t="s">
        <v>7</v>
      </c>
      <c r="C669">
        <v>32.774999999999999</v>
      </c>
      <c r="D669">
        <v>2</v>
      </c>
      <c r="E669" t="s">
        <v>8</v>
      </c>
      <c r="F669" t="s">
        <v>13</v>
      </c>
      <c r="G669">
        <v>40003.332249999999</v>
      </c>
    </row>
    <row r="670" spans="1:7" x14ac:dyDescent="0.25">
      <c r="A670">
        <v>62</v>
      </c>
      <c r="B670" t="s">
        <v>10</v>
      </c>
      <c r="C670">
        <v>32.015000000000001</v>
      </c>
      <c r="D670">
        <v>0</v>
      </c>
      <c r="E670" t="s">
        <v>8</v>
      </c>
      <c r="F670" t="s">
        <v>14</v>
      </c>
      <c r="G670">
        <v>45710.207849999999</v>
      </c>
    </row>
    <row r="671" spans="1:7" x14ac:dyDescent="0.25">
      <c r="A671">
        <v>40</v>
      </c>
      <c r="B671" t="s">
        <v>7</v>
      </c>
      <c r="C671">
        <v>29.81</v>
      </c>
      <c r="D671">
        <v>1</v>
      </c>
      <c r="E671" t="s">
        <v>11</v>
      </c>
      <c r="F671" t="s">
        <v>12</v>
      </c>
      <c r="G671">
        <v>6500.2358999999997</v>
      </c>
    </row>
    <row r="672" spans="1:7" x14ac:dyDescent="0.25">
      <c r="A672">
        <v>30</v>
      </c>
      <c r="B672" t="s">
        <v>10</v>
      </c>
      <c r="C672">
        <v>31.57</v>
      </c>
      <c r="D672">
        <v>3</v>
      </c>
      <c r="E672" t="s">
        <v>11</v>
      </c>
      <c r="F672" t="s">
        <v>12</v>
      </c>
      <c r="G672">
        <v>4837.5823</v>
      </c>
    </row>
    <row r="673" spans="1:7" x14ac:dyDescent="0.25">
      <c r="A673">
        <v>29</v>
      </c>
      <c r="B673" t="s">
        <v>7</v>
      </c>
      <c r="C673">
        <v>31.16</v>
      </c>
      <c r="D673">
        <v>0</v>
      </c>
      <c r="E673" t="s">
        <v>11</v>
      </c>
      <c r="F673" t="s">
        <v>14</v>
      </c>
      <c r="G673">
        <v>3943.5954000000002</v>
      </c>
    </row>
    <row r="674" spans="1:7" x14ac:dyDescent="0.25">
      <c r="A674">
        <v>36</v>
      </c>
      <c r="B674" t="s">
        <v>10</v>
      </c>
      <c r="C674">
        <v>29.7</v>
      </c>
      <c r="D674">
        <v>0</v>
      </c>
      <c r="E674" t="s">
        <v>11</v>
      </c>
      <c r="F674" t="s">
        <v>12</v>
      </c>
      <c r="G674">
        <v>4399.7309999999998</v>
      </c>
    </row>
    <row r="675" spans="1:7" x14ac:dyDescent="0.25">
      <c r="A675">
        <v>41</v>
      </c>
      <c r="B675" t="s">
        <v>7</v>
      </c>
      <c r="C675">
        <v>31.02</v>
      </c>
      <c r="D675">
        <v>0</v>
      </c>
      <c r="E675" t="s">
        <v>11</v>
      </c>
      <c r="F675" t="s">
        <v>12</v>
      </c>
      <c r="G675">
        <v>6185.3208000000004</v>
      </c>
    </row>
    <row r="676" spans="1:7" x14ac:dyDescent="0.25">
      <c r="A676">
        <v>44</v>
      </c>
      <c r="B676" t="s">
        <v>7</v>
      </c>
      <c r="C676">
        <v>43.89</v>
      </c>
      <c r="D676">
        <v>2</v>
      </c>
      <c r="E676" t="s">
        <v>8</v>
      </c>
      <c r="F676" t="s">
        <v>12</v>
      </c>
      <c r="G676">
        <v>46200.985099999998</v>
      </c>
    </row>
    <row r="677" spans="1:7" x14ac:dyDescent="0.25">
      <c r="A677">
        <v>45</v>
      </c>
      <c r="B677" t="s">
        <v>10</v>
      </c>
      <c r="C677">
        <v>21.375</v>
      </c>
      <c r="D677">
        <v>0</v>
      </c>
      <c r="E677" t="s">
        <v>11</v>
      </c>
      <c r="F677" t="s">
        <v>13</v>
      </c>
      <c r="G677">
        <v>7222.7862500000001</v>
      </c>
    </row>
    <row r="678" spans="1:7" x14ac:dyDescent="0.25">
      <c r="A678">
        <v>55</v>
      </c>
      <c r="B678" t="s">
        <v>7</v>
      </c>
      <c r="C678">
        <v>40.81</v>
      </c>
      <c r="D678">
        <v>3</v>
      </c>
      <c r="E678" t="s">
        <v>11</v>
      </c>
      <c r="F678" t="s">
        <v>12</v>
      </c>
      <c r="G678">
        <v>12485.8009</v>
      </c>
    </row>
    <row r="679" spans="1:7" x14ac:dyDescent="0.25">
      <c r="A679">
        <v>60</v>
      </c>
      <c r="B679" t="s">
        <v>10</v>
      </c>
      <c r="C679">
        <v>31.35</v>
      </c>
      <c r="D679">
        <v>3</v>
      </c>
      <c r="E679" t="s">
        <v>8</v>
      </c>
      <c r="F679" t="s">
        <v>13</v>
      </c>
      <c r="G679">
        <v>46130.5265</v>
      </c>
    </row>
    <row r="680" spans="1:7" x14ac:dyDescent="0.25">
      <c r="A680">
        <v>56</v>
      </c>
      <c r="B680" t="s">
        <v>10</v>
      </c>
      <c r="C680">
        <v>36.1</v>
      </c>
      <c r="D680">
        <v>3</v>
      </c>
      <c r="E680" t="s">
        <v>11</v>
      </c>
      <c r="F680" t="s">
        <v>9</v>
      </c>
      <c r="G680">
        <v>12363.547</v>
      </c>
    </row>
    <row r="681" spans="1:7" x14ac:dyDescent="0.25">
      <c r="A681">
        <v>49</v>
      </c>
      <c r="B681" t="s">
        <v>7</v>
      </c>
      <c r="C681">
        <v>23.18</v>
      </c>
      <c r="D681">
        <v>2</v>
      </c>
      <c r="E681" t="s">
        <v>11</v>
      </c>
      <c r="F681" t="s">
        <v>13</v>
      </c>
      <c r="G681">
        <v>10156.7832</v>
      </c>
    </row>
    <row r="682" spans="1:7" x14ac:dyDescent="0.25">
      <c r="A682">
        <v>21</v>
      </c>
      <c r="B682" t="s">
        <v>7</v>
      </c>
      <c r="C682">
        <v>17.399999999999999</v>
      </c>
      <c r="D682">
        <v>1</v>
      </c>
      <c r="E682" t="s">
        <v>11</v>
      </c>
      <c r="F682" t="s">
        <v>9</v>
      </c>
      <c r="G682">
        <v>2585.2689999999998</v>
      </c>
    </row>
    <row r="683" spans="1:7" x14ac:dyDescent="0.25">
      <c r="A683">
        <v>19</v>
      </c>
      <c r="B683" t="s">
        <v>10</v>
      </c>
      <c r="C683">
        <v>20.3</v>
      </c>
      <c r="D683">
        <v>0</v>
      </c>
      <c r="E683" t="s">
        <v>11</v>
      </c>
      <c r="F683" t="s">
        <v>9</v>
      </c>
      <c r="G683">
        <v>1242.26</v>
      </c>
    </row>
    <row r="684" spans="1:7" x14ac:dyDescent="0.25">
      <c r="A684">
        <v>39</v>
      </c>
      <c r="B684" t="s">
        <v>10</v>
      </c>
      <c r="C684">
        <v>35.299999999999997</v>
      </c>
      <c r="D684">
        <v>2</v>
      </c>
      <c r="E684" t="s">
        <v>8</v>
      </c>
      <c r="F684" t="s">
        <v>9</v>
      </c>
      <c r="G684">
        <v>40103.89</v>
      </c>
    </row>
    <row r="685" spans="1:7" x14ac:dyDescent="0.25">
      <c r="A685">
        <v>53</v>
      </c>
      <c r="B685" t="s">
        <v>10</v>
      </c>
      <c r="C685">
        <v>24.32</v>
      </c>
      <c r="D685">
        <v>0</v>
      </c>
      <c r="E685" t="s">
        <v>11</v>
      </c>
      <c r="F685" t="s">
        <v>13</v>
      </c>
      <c r="G685">
        <v>9863.4717999999993</v>
      </c>
    </row>
    <row r="686" spans="1:7" x14ac:dyDescent="0.25">
      <c r="A686">
        <v>33</v>
      </c>
      <c r="B686" t="s">
        <v>7</v>
      </c>
      <c r="C686">
        <v>18.5</v>
      </c>
      <c r="D686">
        <v>1</v>
      </c>
      <c r="E686" t="s">
        <v>11</v>
      </c>
      <c r="F686" t="s">
        <v>9</v>
      </c>
      <c r="G686">
        <v>4766.0219999999999</v>
      </c>
    </row>
    <row r="687" spans="1:7" x14ac:dyDescent="0.25">
      <c r="A687">
        <v>53</v>
      </c>
      <c r="B687" t="s">
        <v>10</v>
      </c>
      <c r="C687">
        <v>26.41</v>
      </c>
      <c r="D687">
        <v>2</v>
      </c>
      <c r="E687" t="s">
        <v>11</v>
      </c>
      <c r="F687" t="s">
        <v>14</v>
      </c>
      <c r="G687">
        <v>11244.376899999999</v>
      </c>
    </row>
    <row r="688" spans="1:7" x14ac:dyDescent="0.25">
      <c r="A688">
        <v>42</v>
      </c>
      <c r="B688" t="s">
        <v>10</v>
      </c>
      <c r="C688">
        <v>26.125</v>
      </c>
      <c r="D688">
        <v>2</v>
      </c>
      <c r="E688" t="s">
        <v>11</v>
      </c>
      <c r="F688" t="s">
        <v>14</v>
      </c>
      <c r="G688">
        <v>7729.6457499999997</v>
      </c>
    </row>
    <row r="689" spans="1:7" x14ac:dyDescent="0.25">
      <c r="A689">
        <v>40</v>
      </c>
      <c r="B689" t="s">
        <v>10</v>
      </c>
      <c r="C689">
        <v>41.69</v>
      </c>
      <c r="D689">
        <v>0</v>
      </c>
      <c r="E689" t="s">
        <v>11</v>
      </c>
      <c r="F689" t="s">
        <v>12</v>
      </c>
      <c r="G689">
        <v>5438.7491</v>
      </c>
    </row>
    <row r="690" spans="1:7" x14ac:dyDescent="0.25">
      <c r="A690">
        <v>47</v>
      </c>
      <c r="B690" t="s">
        <v>7</v>
      </c>
      <c r="C690">
        <v>24.1</v>
      </c>
      <c r="D690">
        <v>1</v>
      </c>
      <c r="E690" t="s">
        <v>11</v>
      </c>
      <c r="F690" t="s">
        <v>9</v>
      </c>
      <c r="G690">
        <v>26236.579969999999</v>
      </c>
    </row>
    <row r="691" spans="1:7" x14ac:dyDescent="0.25">
      <c r="A691">
        <v>27</v>
      </c>
      <c r="B691" t="s">
        <v>10</v>
      </c>
      <c r="C691">
        <v>31.13</v>
      </c>
      <c r="D691">
        <v>1</v>
      </c>
      <c r="E691" t="s">
        <v>8</v>
      </c>
      <c r="F691" t="s">
        <v>12</v>
      </c>
      <c r="G691">
        <v>34806.467700000001</v>
      </c>
    </row>
    <row r="692" spans="1:7" x14ac:dyDescent="0.25">
      <c r="A692">
        <v>21</v>
      </c>
      <c r="B692" t="s">
        <v>10</v>
      </c>
      <c r="C692">
        <v>27.36</v>
      </c>
      <c r="D692">
        <v>0</v>
      </c>
      <c r="E692" t="s">
        <v>11</v>
      </c>
      <c r="F692" t="s">
        <v>14</v>
      </c>
      <c r="G692">
        <v>2104.1134000000002</v>
      </c>
    </row>
    <row r="693" spans="1:7" x14ac:dyDescent="0.25">
      <c r="A693">
        <v>47</v>
      </c>
      <c r="B693" t="s">
        <v>10</v>
      </c>
      <c r="C693">
        <v>36.200000000000003</v>
      </c>
      <c r="D693">
        <v>1</v>
      </c>
      <c r="E693" t="s">
        <v>11</v>
      </c>
      <c r="F693" t="s">
        <v>9</v>
      </c>
      <c r="G693">
        <v>8068.1850000000004</v>
      </c>
    </row>
    <row r="694" spans="1:7" x14ac:dyDescent="0.25">
      <c r="A694">
        <v>20</v>
      </c>
      <c r="B694" t="s">
        <v>10</v>
      </c>
      <c r="C694">
        <v>32.395000000000003</v>
      </c>
      <c r="D694">
        <v>1</v>
      </c>
      <c r="E694" t="s">
        <v>11</v>
      </c>
      <c r="F694" t="s">
        <v>13</v>
      </c>
      <c r="G694">
        <v>2362.2290499999999</v>
      </c>
    </row>
    <row r="695" spans="1:7" x14ac:dyDescent="0.25">
      <c r="A695">
        <v>24</v>
      </c>
      <c r="B695" t="s">
        <v>10</v>
      </c>
      <c r="C695">
        <v>23.655000000000001</v>
      </c>
      <c r="D695">
        <v>0</v>
      </c>
      <c r="E695" t="s">
        <v>11</v>
      </c>
      <c r="F695" t="s">
        <v>13</v>
      </c>
      <c r="G695">
        <v>2352.9684499999998</v>
      </c>
    </row>
    <row r="696" spans="1:7" x14ac:dyDescent="0.25">
      <c r="A696">
        <v>27</v>
      </c>
      <c r="B696" t="s">
        <v>7</v>
      </c>
      <c r="C696">
        <v>34.799999999999997</v>
      </c>
      <c r="D696">
        <v>1</v>
      </c>
      <c r="E696" t="s">
        <v>11</v>
      </c>
      <c r="F696" t="s">
        <v>9</v>
      </c>
      <c r="G696">
        <v>3577.9989999999998</v>
      </c>
    </row>
    <row r="697" spans="1:7" x14ac:dyDescent="0.25">
      <c r="A697">
        <v>26</v>
      </c>
      <c r="B697" t="s">
        <v>7</v>
      </c>
      <c r="C697">
        <v>40.185000000000002</v>
      </c>
      <c r="D697">
        <v>0</v>
      </c>
      <c r="E697" t="s">
        <v>11</v>
      </c>
      <c r="F697" t="s">
        <v>13</v>
      </c>
      <c r="G697">
        <v>3201.2451500000002</v>
      </c>
    </row>
    <row r="698" spans="1:7" x14ac:dyDescent="0.25">
      <c r="A698">
        <v>53</v>
      </c>
      <c r="B698" t="s">
        <v>7</v>
      </c>
      <c r="C698">
        <v>32.299999999999997</v>
      </c>
      <c r="D698">
        <v>2</v>
      </c>
      <c r="E698" t="s">
        <v>11</v>
      </c>
      <c r="F698" t="s">
        <v>14</v>
      </c>
      <c r="G698">
        <v>29186.482360000002</v>
      </c>
    </row>
    <row r="699" spans="1:7" x14ac:dyDescent="0.25">
      <c r="A699">
        <v>41</v>
      </c>
      <c r="B699" t="s">
        <v>10</v>
      </c>
      <c r="C699">
        <v>35.75</v>
      </c>
      <c r="D699">
        <v>1</v>
      </c>
      <c r="E699" t="s">
        <v>8</v>
      </c>
      <c r="F699" t="s">
        <v>12</v>
      </c>
      <c r="G699">
        <v>40273.645499999999</v>
      </c>
    </row>
    <row r="700" spans="1:7" x14ac:dyDescent="0.25">
      <c r="A700">
        <v>56</v>
      </c>
      <c r="B700" t="s">
        <v>10</v>
      </c>
      <c r="C700">
        <v>33.725000000000001</v>
      </c>
      <c r="D700">
        <v>0</v>
      </c>
      <c r="E700" t="s">
        <v>11</v>
      </c>
      <c r="F700" t="s">
        <v>13</v>
      </c>
      <c r="G700">
        <v>10976.24575</v>
      </c>
    </row>
    <row r="701" spans="1:7" x14ac:dyDescent="0.25">
      <c r="A701">
        <v>23</v>
      </c>
      <c r="B701" t="s">
        <v>7</v>
      </c>
      <c r="C701">
        <v>39.270000000000003</v>
      </c>
      <c r="D701">
        <v>2</v>
      </c>
      <c r="E701" t="s">
        <v>11</v>
      </c>
      <c r="F701" t="s">
        <v>12</v>
      </c>
      <c r="G701">
        <v>3500.6122999999998</v>
      </c>
    </row>
    <row r="702" spans="1:7" x14ac:dyDescent="0.25">
      <c r="A702">
        <v>21</v>
      </c>
      <c r="B702" t="s">
        <v>7</v>
      </c>
      <c r="C702">
        <v>34.869999999999997</v>
      </c>
      <c r="D702">
        <v>0</v>
      </c>
      <c r="E702" t="s">
        <v>11</v>
      </c>
      <c r="F702" t="s">
        <v>12</v>
      </c>
      <c r="G702">
        <v>2020.5523000000001</v>
      </c>
    </row>
    <row r="703" spans="1:7" x14ac:dyDescent="0.25">
      <c r="A703">
        <v>50</v>
      </c>
      <c r="B703" t="s">
        <v>7</v>
      </c>
      <c r="C703">
        <v>44.744999999999997</v>
      </c>
      <c r="D703">
        <v>0</v>
      </c>
      <c r="E703" t="s">
        <v>11</v>
      </c>
      <c r="F703" t="s">
        <v>14</v>
      </c>
      <c r="G703">
        <v>9541.6955500000004</v>
      </c>
    </row>
    <row r="704" spans="1:7" x14ac:dyDescent="0.25">
      <c r="A704">
        <v>53</v>
      </c>
      <c r="B704" t="s">
        <v>10</v>
      </c>
      <c r="C704">
        <v>41.47</v>
      </c>
      <c r="D704">
        <v>0</v>
      </c>
      <c r="E704" t="s">
        <v>11</v>
      </c>
      <c r="F704" t="s">
        <v>12</v>
      </c>
      <c r="G704">
        <v>9504.3102999999992</v>
      </c>
    </row>
    <row r="705" spans="1:7" x14ac:dyDescent="0.25">
      <c r="A705">
        <v>34</v>
      </c>
      <c r="B705" t="s">
        <v>7</v>
      </c>
      <c r="C705">
        <v>26.41</v>
      </c>
      <c r="D705">
        <v>1</v>
      </c>
      <c r="E705" t="s">
        <v>11</v>
      </c>
      <c r="F705" t="s">
        <v>13</v>
      </c>
      <c r="G705">
        <v>5385.3379000000004</v>
      </c>
    </row>
    <row r="706" spans="1:7" x14ac:dyDescent="0.25">
      <c r="A706">
        <v>47</v>
      </c>
      <c r="B706" t="s">
        <v>7</v>
      </c>
      <c r="C706">
        <v>29.545000000000002</v>
      </c>
      <c r="D706">
        <v>1</v>
      </c>
      <c r="E706" t="s">
        <v>11</v>
      </c>
      <c r="F706" t="s">
        <v>13</v>
      </c>
      <c r="G706">
        <v>8930.9345499999999</v>
      </c>
    </row>
    <row r="707" spans="1:7" x14ac:dyDescent="0.25">
      <c r="A707">
        <v>33</v>
      </c>
      <c r="B707" t="s">
        <v>7</v>
      </c>
      <c r="C707">
        <v>32.9</v>
      </c>
      <c r="D707">
        <v>2</v>
      </c>
      <c r="E707" t="s">
        <v>11</v>
      </c>
      <c r="F707" t="s">
        <v>9</v>
      </c>
      <c r="G707">
        <v>5375.0379999999996</v>
      </c>
    </row>
    <row r="708" spans="1:7" x14ac:dyDescent="0.25">
      <c r="A708">
        <v>51</v>
      </c>
      <c r="B708" t="s">
        <v>7</v>
      </c>
      <c r="C708">
        <v>38.06</v>
      </c>
      <c r="D708">
        <v>0</v>
      </c>
      <c r="E708" t="s">
        <v>8</v>
      </c>
      <c r="F708" t="s">
        <v>12</v>
      </c>
      <c r="G708">
        <v>44400.4064</v>
      </c>
    </row>
    <row r="709" spans="1:7" x14ac:dyDescent="0.25">
      <c r="A709">
        <v>49</v>
      </c>
      <c r="B709" t="s">
        <v>10</v>
      </c>
      <c r="C709">
        <v>28.69</v>
      </c>
      <c r="D709">
        <v>3</v>
      </c>
      <c r="E709" t="s">
        <v>11</v>
      </c>
      <c r="F709" t="s">
        <v>13</v>
      </c>
      <c r="G709">
        <v>10264.4421</v>
      </c>
    </row>
    <row r="710" spans="1:7" x14ac:dyDescent="0.25">
      <c r="A710">
        <v>31</v>
      </c>
      <c r="B710" t="s">
        <v>7</v>
      </c>
      <c r="C710">
        <v>30.495000000000001</v>
      </c>
      <c r="D710">
        <v>3</v>
      </c>
      <c r="E710" t="s">
        <v>11</v>
      </c>
      <c r="F710" t="s">
        <v>14</v>
      </c>
      <c r="G710">
        <v>6113.2310500000003</v>
      </c>
    </row>
    <row r="711" spans="1:7" x14ac:dyDescent="0.25">
      <c r="A711">
        <v>36</v>
      </c>
      <c r="B711" t="s">
        <v>7</v>
      </c>
      <c r="C711">
        <v>27.74</v>
      </c>
      <c r="D711">
        <v>0</v>
      </c>
      <c r="E711" t="s">
        <v>11</v>
      </c>
      <c r="F711" t="s">
        <v>14</v>
      </c>
      <c r="G711">
        <v>5469.0065999999997</v>
      </c>
    </row>
    <row r="712" spans="1:7" x14ac:dyDescent="0.25">
      <c r="A712">
        <v>18</v>
      </c>
      <c r="B712" t="s">
        <v>10</v>
      </c>
      <c r="C712">
        <v>35.200000000000003</v>
      </c>
      <c r="D712">
        <v>1</v>
      </c>
      <c r="E712" t="s">
        <v>11</v>
      </c>
      <c r="F712" t="s">
        <v>12</v>
      </c>
      <c r="G712">
        <v>1727.54</v>
      </c>
    </row>
    <row r="713" spans="1:7" x14ac:dyDescent="0.25">
      <c r="A713">
        <v>50</v>
      </c>
      <c r="B713" t="s">
        <v>7</v>
      </c>
      <c r="C713">
        <v>23.54</v>
      </c>
      <c r="D713">
        <v>2</v>
      </c>
      <c r="E713" t="s">
        <v>11</v>
      </c>
      <c r="F713" t="s">
        <v>12</v>
      </c>
      <c r="G713">
        <v>10107.220600000001</v>
      </c>
    </row>
    <row r="714" spans="1:7" x14ac:dyDescent="0.25">
      <c r="A714">
        <v>43</v>
      </c>
      <c r="B714" t="s">
        <v>7</v>
      </c>
      <c r="C714">
        <v>30.684999999999999</v>
      </c>
      <c r="D714">
        <v>2</v>
      </c>
      <c r="E714" t="s">
        <v>11</v>
      </c>
      <c r="F714" t="s">
        <v>13</v>
      </c>
      <c r="G714">
        <v>8310.8391499999998</v>
      </c>
    </row>
    <row r="715" spans="1:7" x14ac:dyDescent="0.25">
      <c r="A715">
        <v>20</v>
      </c>
      <c r="B715" t="s">
        <v>10</v>
      </c>
      <c r="C715">
        <v>40.47</v>
      </c>
      <c r="D715">
        <v>0</v>
      </c>
      <c r="E715" t="s">
        <v>11</v>
      </c>
      <c r="F715" t="s">
        <v>14</v>
      </c>
      <c r="G715">
        <v>1984.4532999999999</v>
      </c>
    </row>
    <row r="716" spans="1:7" x14ac:dyDescent="0.25">
      <c r="A716">
        <v>24</v>
      </c>
      <c r="B716" t="s">
        <v>7</v>
      </c>
      <c r="C716">
        <v>22.6</v>
      </c>
      <c r="D716">
        <v>0</v>
      </c>
      <c r="E716" t="s">
        <v>11</v>
      </c>
      <c r="F716" t="s">
        <v>9</v>
      </c>
      <c r="G716">
        <v>2457.502</v>
      </c>
    </row>
    <row r="717" spans="1:7" x14ac:dyDescent="0.25">
      <c r="A717">
        <v>60</v>
      </c>
      <c r="B717" t="s">
        <v>10</v>
      </c>
      <c r="C717">
        <v>28.9</v>
      </c>
      <c r="D717">
        <v>0</v>
      </c>
      <c r="E717" t="s">
        <v>11</v>
      </c>
      <c r="F717" t="s">
        <v>9</v>
      </c>
      <c r="G717">
        <v>12146.971</v>
      </c>
    </row>
    <row r="718" spans="1:7" x14ac:dyDescent="0.25">
      <c r="A718">
        <v>49</v>
      </c>
      <c r="B718" t="s">
        <v>7</v>
      </c>
      <c r="C718">
        <v>22.61</v>
      </c>
      <c r="D718">
        <v>1</v>
      </c>
      <c r="E718" t="s">
        <v>11</v>
      </c>
      <c r="F718" t="s">
        <v>13</v>
      </c>
      <c r="G718">
        <v>9566.9909000000007</v>
      </c>
    </row>
    <row r="719" spans="1:7" x14ac:dyDescent="0.25">
      <c r="A719">
        <v>60</v>
      </c>
      <c r="B719" t="s">
        <v>10</v>
      </c>
      <c r="C719">
        <v>24.32</v>
      </c>
      <c r="D719">
        <v>1</v>
      </c>
      <c r="E719" t="s">
        <v>11</v>
      </c>
      <c r="F719" t="s">
        <v>13</v>
      </c>
      <c r="G719">
        <v>13112.604799999999</v>
      </c>
    </row>
    <row r="720" spans="1:7" x14ac:dyDescent="0.25">
      <c r="A720">
        <v>51</v>
      </c>
      <c r="B720" t="s">
        <v>7</v>
      </c>
      <c r="C720">
        <v>36.67</v>
      </c>
      <c r="D720">
        <v>2</v>
      </c>
      <c r="E720" t="s">
        <v>11</v>
      </c>
      <c r="F720" t="s">
        <v>13</v>
      </c>
      <c r="G720">
        <v>10848.1343</v>
      </c>
    </row>
    <row r="721" spans="1:7" x14ac:dyDescent="0.25">
      <c r="A721">
        <v>58</v>
      </c>
      <c r="B721" t="s">
        <v>7</v>
      </c>
      <c r="C721">
        <v>33.44</v>
      </c>
      <c r="D721">
        <v>0</v>
      </c>
      <c r="E721" t="s">
        <v>11</v>
      </c>
      <c r="F721" t="s">
        <v>13</v>
      </c>
      <c r="G721">
        <v>12231.613600000001</v>
      </c>
    </row>
    <row r="722" spans="1:7" x14ac:dyDescent="0.25">
      <c r="A722">
        <v>51</v>
      </c>
      <c r="B722" t="s">
        <v>7</v>
      </c>
      <c r="C722">
        <v>40.659999999999997</v>
      </c>
      <c r="D722">
        <v>0</v>
      </c>
      <c r="E722" t="s">
        <v>11</v>
      </c>
      <c r="F722" t="s">
        <v>14</v>
      </c>
      <c r="G722">
        <v>9875.6803999999993</v>
      </c>
    </row>
    <row r="723" spans="1:7" x14ac:dyDescent="0.25">
      <c r="A723">
        <v>53</v>
      </c>
      <c r="B723" t="s">
        <v>10</v>
      </c>
      <c r="C723">
        <v>36.6</v>
      </c>
      <c r="D723">
        <v>3</v>
      </c>
      <c r="E723" t="s">
        <v>11</v>
      </c>
      <c r="F723" t="s">
        <v>9</v>
      </c>
      <c r="G723">
        <v>11264.540999999999</v>
      </c>
    </row>
    <row r="724" spans="1:7" x14ac:dyDescent="0.25">
      <c r="A724">
        <v>62</v>
      </c>
      <c r="B724" t="s">
        <v>10</v>
      </c>
      <c r="C724">
        <v>37.4</v>
      </c>
      <c r="D724">
        <v>0</v>
      </c>
      <c r="E724" t="s">
        <v>11</v>
      </c>
      <c r="F724" t="s">
        <v>9</v>
      </c>
      <c r="G724">
        <v>12979.358</v>
      </c>
    </row>
    <row r="725" spans="1:7" x14ac:dyDescent="0.25">
      <c r="A725">
        <v>19</v>
      </c>
      <c r="B725" t="s">
        <v>10</v>
      </c>
      <c r="C725">
        <v>35.4</v>
      </c>
      <c r="D725">
        <v>0</v>
      </c>
      <c r="E725" t="s">
        <v>11</v>
      </c>
      <c r="F725" t="s">
        <v>9</v>
      </c>
      <c r="G725">
        <v>1263.249</v>
      </c>
    </row>
    <row r="726" spans="1:7" x14ac:dyDescent="0.25">
      <c r="A726">
        <v>50</v>
      </c>
      <c r="B726" t="s">
        <v>7</v>
      </c>
      <c r="C726">
        <v>27.074999999999999</v>
      </c>
      <c r="D726">
        <v>1</v>
      </c>
      <c r="E726" t="s">
        <v>11</v>
      </c>
      <c r="F726" t="s">
        <v>14</v>
      </c>
      <c r="G726">
        <v>10106.134249999999</v>
      </c>
    </row>
    <row r="727" spans="1:7" x14ac:dyDescent="0.25">
      <c r="A727">
        <v>30</v>
      </c>
      <c r="B727" t="s">
        <v>7</v>
      </c>
      <c r="C727">
        <v>39.049999999999997</v>
      </c>
      <c r="D727">
        <v>3</v>
      </c>
      <c r="E727" t="s">
        <v>8</v>
      </c>
      <c r="F727" t="s">
        <v>12</v>
      </c>
      <c r="G727">
        <v>40932.429499999998</v>
      </c>
    </row>
    <row r="728" spans="1:7" x14ac:dyDescent="0.25">
      <c r="A728">
        <v>41</v>
      </c>
      <c r="B728" t="s">
        <v>10</v>
      </c>
      <c r="C728">
        <v>28.405000000000001</v>
      </c>
      <c r="D728">
        <v>1</v>
      </c>
      <c r="E728" t="s">
        <v>11</v>
      </c>
      <c r="F728" t="s">
        <v>13</v>
      </c>
      <c r="G728">
        <v>6664.68595</v>
      </c>
    </row>
    <row r="729" spans="1:7" x14ac:dyDescent="0.25">
      <c r="A729">
        <v>29</v>
      </c>
      <c r="B729" t="s">
        <v>7</v>
      </c>
      <c r="C729">
        <v>21.754999999999999</v>
      </c>
      <c r="D729">
        <v>1</v>
      </c>
      <c r="E729" t="s">
        <v>8</v>
      </c>
      <c r="F729" t="s">
        <v>14</v>
      </c>
      <c r="G729">
        <v>16657.71745</v>
      </c>
    </row>
    <row r="730" spans="1:7" x14ac:dyDescent="0.25">
      <c r="A730">
        <v>18</v>
      </c>
      <c r="B730" t="s">
        <v>7</v>
      </c>
      <c r="C730">
        <v>40.28</v>
      </c>
      <c r="D730">
        <v>0</v>
      </c>
      <c r="E730" t="s">
        <v>11</v>
      </c>
      <c r="F730" t="s">
        <v>14</v>
      </c>
      <c r="G730">
        <v>2217.6012000000001</v>
      </c>
    </row>
    <row r="731" spans="1:7" x14ac:dyDescent="0.25">
      <c r="A731">
        <v>41</v>
      </c>
      <c r="B731" t="s">
        <v>7</v>
      </c>
      <c r="C731">
        <v>36.08</v>
      </c>
      <c r="D731">
        <v>1</v>
      </c>
      <c r="E731" t="s">
        <v>11</v>
      </c>
      <c r="F731" t="s">
        <v>12</v>
      </c>
      <c r="G731">
        <v>6781.3541999999998</v>
      </c>
    </row>
    <row r="732" spans="1:7" x14ac:dyDescent="0.25">
      <c r="A732">
        <v>35</v>
      </c>
      <c r="B732" t="s">
        <v>10</v>
      </c>
      <c r="C732">
        <v>24.42</v>
      </c>
      <c r="D732">
        <v>3</v>
      </c>
      <c r="E732" t="s">
        <v>8</v>
      </c>
      <c r="F732" t="s">
        <v>12</v>
      </c>
      <c r="G732">
        <v>19361.998800000001</v>
      </c>
    </row>
    <row r="733" spans="1:7" x14ac:dyDescent="0.25">
      <c r="A733">
        <v>53</v>
      </c>
      <c r="B733" t="s">
        <v>10</v>
      </c>
      <c r="C733">
        <v>21.4</v>
      </c>
      <c r="D733">
        <v>1</v>
      </c>
      <c r="E733" t="s">
        <v>11</v>
      </c>
      <c r="F733" t="s">
        <v>9</v>
      </c>
      <c r="G733">
        <v>10065.413</v>
      </c>
    </row>
    <row r="734" spans="1:7" x14ac:dyDescent="0.25">
      <c r="A734">
        <v>24</v>
      </c>
      <c r="B734" t="s">
        <v>7</v>
      </c>
      <c r="C734">
        <v>30.1</v>
      </c>
      <c r="D734">
        <v>3</v>
      </c>
      <c r="E734" t="s">
        <v>11</v>
      </c>
      <c r="F734" t="s">
        <v>9</v>
      </c>
      <c r="G734">
        <v>4234.9269999999997</v>
      </c>
    </row>
    <row r="735" spans="1:7" x14ac:dyDescent="0.25">
      <c r="A735">
        <v>48</v>
      </c>
      <c r="B735" t="s">
        <v>7</v>
      </c>
      <c r="C735">
        <v>27.265000000000001</v>
      </c>
      <c r="D735">
        <v>1</v>
      </c>
      <c r="E735" t="s">
        <v>11</v>
      </c>
      <c r="F735" t="s">
        <v>14</v>
      </c>
      <c r="G735">
        <v>9447.2503500000003</v>
      </c>
    </row>
    <row r="736" spans="1:7" x14ac:dyDescent="0.25">
      <c r="A736">
        <v>59</v>
      </c>
      <c r="B736" t="s">
        <v>7</v>
      </c>
      <c r="C736">
        <v>32.1</v>
      </c>
      <c r="D736">
        <v>3</v>
      </c>
      <c r="E736" t="s">
        <v>11</v>
      </c>
      <c r="F736" t="s">
        <v>9</v>
      </c>
      <c r="G736">
        <v>14007.222</v>
      </c>
    </row>
    <row r="737" spans="1:7" x14ac:dyDescent="0.25">
      <c r="A737">
        <v>49</v>
      </c>
      <c r="B737" t="s">
        <v>7</v>
      </c>
      <c r="C737">
        <v>34.770000000000003</v>
      </c>
      <c r="D737">
        <v>1</v>
      </c>
      <c r="E737" t="s">
        <v>11</v>
      </c>
      <c r="F737" t="s">
        <v>13</v>
      </c>
      <c r="G737">
        <v>9583.8932999999997</v>
      </c>
    </row>
    <row r="738" spans="1:7" x14ac:dyDescent="0.25">
      <c r="A738">
        <v>37</v>
      </c>
      <c r="B738" t="s">
        <v>7</v>
      </c>
      <c r="C738">
        <v>38.39</v>
      </c>
      <c r="D738">
        <v>0</v>
      </c>
      <c r="E738" t="s">
        <v>8</v>
      </c>
      <c r="F738" t="s">
        <v>12</v>
      </c>
      <c r="G738">
        <v>40419.019099999998</v>
      </c>
    </row>
    <row r="739" spans="1:7" x14ac:dyDescent="0.25">
      <c r="A739">
        <v>26</v>
      </c>
      <c r="B739" t="s">
        <v>10</v>
      </c>
      <c r="C739">
        <v>23.7</v>
      </c>
      <c r="D739">
        <v>2</v>
      </c>
      <c r="E739" t="s">
        <v>11</v>
      </c>
      <c r="F739" t="s">
        <v>9</v>
      </c>
      <c r="G739">
        <v>3484.3310000000001</v>
      </c>
    </row>
    <row r="740" spans="1:7" x14ac:dyDescent="0.25">
      <c r="A740">
        <v>23</v>
      </c>
      <c r="B740" t="s">
        <v>10</v>
      </c>
      <c r="C740">
        <v>31.73</v>
      </c>
      <c r="D740">
        <v>3</v>
      </c>
      <c r="E740" t="s">
        <v>8</v>
      </c>
      <c r="F740" t="s">
        <v>14</v>
      </c>
      <c r="G740">
        <v>36189.101699999999</v>
      </c>
    </row>
    <row r="741" spans="1:7" x14ac:dyDescent="0.25">
      <c r="A741">
        <v>29</v>
      </c>
      <c r="B741" t="s">
        <v>10</v>
      </c>
      <c r="C741">
        <v>35.5</v>
      </c>
      <c r="D741">
        <v>2</v>
      </c>
      <c r="E741" t="s">
        <v>8</v>
      </c>
      <c r="F741" t="s">
        <v>9</v>
      </c>
      <c r="G741">
        <v>44585.455869999998</v>
      </c>
    </row>
    <row r="742" spans="1:7" x14ac:dyDescent="0.25">
      <c r="A742">
        <v>45</v>
      </c>
      <c r="B742" t="s">
        <v>10</v>
      </c>
      <c r="C742">
        <v>24.035</v>
      </c>
      <c r="D742">
        <v>2</v>
      </c>
      <c r="E742" t="s">
        <v>11</v>
      </c>
      <c r="F742" t="s">
        <v>14</v>
      </c>
      <c r="G742">
        <v>8604.4836500000001</v>
      </c>
    </row>
    <row r="743" spans="1:7" x14ac:dyDescent="0.25">
      <c r="A743">
        <v>27</v>
      </c>
      <c r="B743" t="s">
        <v>10</v>
      </c>
      <c r="C743">
        <v>29.15</v>
      </c>
      <c r="D743">
        <v>0</v>
      </c>
      <c r="E743" t="s">
        <v>8</v>
      </c>
      <c r="F743" t="s">
        <v>12</v>
      </c>
      <c r="G743">
        <v>18246.495500000001</v>
      </c>
    </row>
    <row r="744" spans="1:7" x14ac:dyDescent="0.25">
      <c r="A744">
        <v>53</v>
      </c>
      <c r="B744" t="s">
        <v>10</v>
      </c>
      <c r="C744">
        <v>34.104999999999997</v>
      </c>
      <c r="D744">
        <v>0</v>
      </c>
      <c r="E744" t="s">
        <v>8</v>
      </c>
      <c r="F744" t="s">
        <v>14</v>
      </c>
      <c r="G744">
        <v>43254.417950000003</v>
      </c>
    </row>
    <row r="745" spans="1:7" x14ac:dyDescent="0.25">
      <c r="A745">
        <v>31</v>
      </c>
      <c r="B745" t="s">
        <v>7</v>
      </c>
      <c r="C745">
        <v>26.62</v>
      </c>
      <c r="D745">
        <v>0</v>
      </c>
      <c r="E745" t="s">
        <v>11</v>
      </c>
      <c r="F745" t="s">
        <v>12</v>
      </c>
      <c r="G745">
        <v>3757.8447999999999</v>
      </c>
    </row>
    <row r="746" spans="1:7" x14ac:dyDescent="0.25">
      <c r="A746">
        <v>50</v>
      </c>
      <c r="B746" t="s">
        <v>10</v>
      </c>
      <c r="C746">
        <v>26.41</v>
      </c>
      <c r="D746">
        <v>0</v>
      </c>
      <c r="E746" t="s">
        <v>11</v>
      </c>
      <c r="F746" t="s">
        <v>13</v>
      </c>
      <c r="G746">
        <v>8827.2098999999998</v>
      </c>
    </row>
    <row r="747" spans="1:7" x14ac:dyDescent="0.25">
      <c r="A747">
        <v>50</v>
      </c>
      <c r="B747" t="s">
        <v>7</v>
      </c>
      <c r="C747">
        <v>30.114999999999998</v>
      </c>
      <c r="D747">
        <v>1</v>
      </c>
      <c r="E747" t="s">
        <v>11</v>
      </c>
      <c r="F747" t="s">
        <v>13</v>
      </c>
      <c r="G747">
        <v>9910.3598500000007</v>
      </c>
    </row>
    <row r="748" spans="1:7" x14ac:dyDescent="0.25">
      <c r="A748">
        <v>34</v>
      </c>
      <c r="B748" t="s">
        <v>10</v>
      </c>
      <c r="C748">
        <v>27</v>
      </c>
      <c r="D748">
        <v>2</v>
      </c>
      <c r="E748" t="s">
        <v>11</v>
      </c>
      <c r="F748" t="s">
        <v>9</v>
      </c>
      <c r="G748">
        <v>11737.848840000001</v>
      </c>
    </row>
    <row r="749" spans="1:7" x14ac:dyDescent="0.25">
      <c r="A749">
        <v>19</v>
      </c>
      <c r="B749" t="s">
        <v>10</v>
      </c>
      <c r="C749">
        <v>21.754999999999999</v>
      </c>
      <c r="D749">
        <v>0</v>
      </c>
      <c r="E749" t="s">
        <v>11</v>
      </c>
      <c r="F749" t="s">
        <v>13</v>
      </c>
      <c r="G749">
        <v>1627.2824499999999</v>
      </c>
    </row>
    <row r="750" spans="1:7" x14ac:dyDescent="0.25">
      <c r="A750">
        <v>47</v>
      </c>
      <c r="B750" t="s">
        <v>7</v>
      </c>
      <c r="C750">
        <v>36</v>
      </c>
      <c r="D750">
        <v>1</v>
      </c>
      <c r="E750" t="s">
        <v>11</v>
      </c>
      <c r="F750" t="s">
        <v>9</v>
      </c>
      <c r="G750">
        <v>8556.9069999999992</v>
      </c>
    </row>
    <row r="751" spans="1:7" x14ac:dyDescent="0.25">
      <c r="A751">
        <v>28</v>
      </c>
      <c r="B751" t="s">
        <v>10</v>
      </c>
      <c r="C751">
        <v>30.875</v>
      </c>
      <c r="D751">
        <v>0</v>
      </c>
      <c r="E751" t="s">
        <v>11</v>
      </c>
      <c r="F751" t="s">
        <v>13</v>
      </c>
      <c r="G751">
        <v>3062.5082499999999</v>
      </c>
    </row>
    <row r="752" spans="1:7" x14ac:dyDescent="0.25">
      <c r="A752">
        <v>37</v>
      </c>
      <c r="B752" t="s">
        <v>7</v>
      </c>
      <c r="C752">
        <v>26.4</v>
      </c>
      <c r="D752">
        <v>0</v>
      </c>
      <c r="E752" t="s">
        <v>8</v>
      </c>
      <c r="F752" t="s">
        <v>12</v>
      </c>
      <c r="G752">
        <v>19539.242999999999</v>
      </c>
    </row>
    <row r="753" spans="1:7" x14ac:dyDescent="0.25">
      <c r="A753">
        <v>21</v>
      </c>
      <c r="B753" t="s">
        <v>10</v>
      </c>
      <c r="C753">
        <v>28.975000000000001</v>
      </c>
      <c r="D753">
        <v>0</v>
      </c>
      <c r="E753" t="s">
        <v>11</v>
      </c>
      <c r="F753" t="s">
        <v>13</v>
      </c>
      <c r="G753">
        <v>1906.35825</v>
      </c>
    </row>
    <row r="754" spans="1:7" x14ac:dyDescent="0.25">
      <c r="A754">
        <v>64</v>
      </c>
      <c r="B754" t="s">
        <v>10</v>
      </c>
      <c r="C754">
        <v>37.905000000000001</v>
      </c>
      <c r="D754">
        <v>0</v>
      </c>
      <c r="E754" t="s">
        <v>11</v>
      </c>
      <c r="F754" t="s">
        <v>13</v>
      </c>
      <c r="G754">
        <v>14210.53595</v>
      </c>
    </row>
    <row r="755" spans="1:7" x14ac:dyDescent="0.25">
      <c r="A755">
        <v>58</v>
      </c>
      <c r="B755" t="s">
        <v>7</v>
      </c>
      <c r="C755">
        <v>22.77</v>
      </c>
      <c r="D755">
        <v>0</v>
      </c>
      <c r="E755" t="s">
        <v>11</v>
      </c>
      <c r="F755" t="s">
        <v>12</v>
      </c>
      <c r="G755">
        <v>11833.782300000001</v>
      </c>
    </row>
    <row r="756" spans="1:7" x14ac:dyDescent="0.25">
      <c r="A756">
        <v>24</v>
      </c>
      <c r="B756" t="s">
        <v>10</v>
      </c>
      <c r="C756">
        <v>33.630000000000003</v>
      </c>
      <c r="D756">
        <v>4</v>
      </c>
      <c r="E756" t="s">
        <v>11</v>
      </c>
      <c r="F756" t="s">
        <v>14</v>
      </c>
      <c r="G756">
        <v>17128.426080000001</v>
      </c>
    </row>
    <row r="757" spans="1:7" x14ac:dyDescent="0.25">
      <c r="A757">
        <v>31</v>
      </c>
      <c r="B757" t="s">
        <v>10</v>
      </c>
      <c r="C757">
        <v>27.645</v>
      </c>
      <c r="D757">
        <v>2</v>
      </c>
      <c r="E757" t="s">
        <v>11</v>
      </c>
      <c r="F757" t="s">
        <v>14</v>
      </c>
      <c r="G757">
        <v>5031.26955</v>
      </c>
    </row>
    <row r="758" spans="1:7" x14ac:dyDescent="0.25">
      <c r="A758">
        <v>39</v>
      </c>
      <c r="B758" t="s">
        <v>7</v>
      </c>
      <c r="C758">
        <v>22.8</v>
      </c>
      <c r="D758">
        <v>3</v>
      </c>
      <c r="E758" t="s">
        <v>11</v>
      </c>
      <c r="F758" t="s">
        <v>14</v>
      </c>
      <c r="G758">
        <v>7985.8149999999996</v>
      </c>
    </row>
    <row r="759" spans="1:7" x14ac:dyDescent="0.25">
      <c r="A759">
        <v>47</v>
      </c>
      <c r="B759" t="s">
        <v>7</v>
      </c>
      <c r="C759">
        <v>27.83</v>
      </c>
      <c r="D759">
        <v>0</v>
      </c>
      <c r="E759" t="s">
        <v>8</v>
      </c>
      <c r="F759" t="s">
        <v>12</v>
      </c>
      <c r="G759">
        <v>23065.420699999999</v>
      </c>
    </row>
    <row r="760" spans="1:7" x14ac:dyDescent="0.25">
      <c r="A760">
        <v>30</v>
      </c>
      <c r="B760" t="s">
        <v>10</v>
      </c>
      <c r="C760">
        <v>37.43</v>
      </c>
      <c r="D760">
        <v>3</v>
      </c>
      <c r="E760" t="s">
        <v>11</v>
      </c>
      <c r="F760" t="s">
        <v>14</v>
      </c>
      <c r="G760">
        <v>5428.7277000000004</v>
      </c>
    </row>
    <row r="761" spans="1:7" x14ac:dyDescent="0.25">
      <c r="A761">
        <v>18</v>
      </c>
      <c r="B761" t="s">
        <v>10</v>
      </c>
      <c r="C761">
        <v>38.17</v>
      </c>
      <c r="D761">
        <v>0</v>
      </c>
      <c r="E761" t="s">
        <v>8</v>
      </c>
      <c r="F761" t="s">
        <v>12</v>
      </c>
      <c r="G761">
        <v>36307.798300000002</v>
      </c>
    </row>
    <row r="762" spans="1:7" x14ac:dyDescent="0.25">
      <c r="A762">
        <v>22</v>
      </c>
      <c r="B762" t="s">
        <v>7</v>
      </c>
      <c r="C762">
        <v>34.58</v>
      </c>
      <c r="D762">
        <v>2</v>
      </c>
      <c r="E762" t="s">
        <v>11</v>
      </c>
      <c r="F762" t="s">
        <v>14</v>
      </c>
      <c r="G762">
        <v>3925.7582000000002</v>
      </c>
    </row>
    <row r="763" spans="1:7" x14ac:dyDescent="0.25">
      <c r="A763">
        <v>23</v>
      </c>
      <c r="B763" t="s">
        <v>10</v>
      </c>
      <c r="C763">
        <v>35.200000000000003</v>
      </c>
      <c r="D763">
        <v>1</v>
      </c>
      <c r="E763" t="s">
        <v>11</v>
      </c>
      <c r="F763" t="s">
        <v>9</v>
      </c>
      <c r="G763">
        <v>2416.9549999999999</v>
      </c>
    </row>
    <row r="764" spans="1:7" x14ac:dyDescent="0.25">
      <c r="A764">
        <v>33</v>
      </c>
      <c r="B764" t="s">
        <v>10</v>
      </c>
      <c r="C764">
        <v>27.1</v>
      </c>
      <c r="D764">
        <v>1</v>
      </c>
      <c r="E764" t="s">
        <v>8</v>
      </c>
      <c r="F764" t="s">
        <v>9</v>
      </c>
      <c r="G764">
        <v>19040.876</v>
      </c>
    </row>
    <row r="765" spans="1:7" x14ac:dyDescent="0.25">
      <c r="A765">
        <v>27</v>
      </c>
      <c r="B765" t="s">
        <v>10</v>
      </c>
      <c r="C765">
        <v>26.03</v>
      </c>
      <c r="D765">
        <v>0</v>
      </c>
      <c r="E765" t="s">
        <v>11</v>
      </c>
      <c r="F765" t="s">
        <v>14</v>
      </c>
      <c r="G765">
        <v>3070.8087</v>
      </c>
    </row>
    <row r="766" spans="1:7" x14ac:dyDescent="0.25">
      <c r="A766">
        <v>45</v>
      </c>
      <c r="B766" t="s">
        <v>7</v>
      </c>
      <c r="C766">
        <v>25.175000000000001</v>
      </c>
      <c r="D766">
        <v>2</v>
      </c>
      <c r="E766" t="s">
        <v>11</v>
      </c>
      <c r="F766" t="s">
        <v>14</v>
      </c>
      <c r="G766">
        <v>9095.0682500000003</v>
      </c>
    </row>
    <row r="767" spans="1:7" x14ac:dyDescent="0.25">
      <c r="A767">
        <v>57</v>
      </c>
      <c r="B767" t="s">
        <v>7</v>
      </c>
      <c r="C767">
        <v>31.824999999999999</v>
      </c>
      <c r="D767">
        <v>0</v>
      </c>
      <c r="E767" t="s">
        <v>11</v>
      </c>
      <c r="F767" t="s">
        <v>13</v>
      </c>
      <c r="G767">
        <v>11842.623750000001</v>
      </c>
    </row>
    <row r="768" spans="1:7" x14ac:dyDescent="0.25">
      <c r="A768">
        <v>47</v>
      </c>
      <c r="B768" t="s">
        <v>10</v>
      </c>
      <c r="C768">
        <v>32.299999999999997</v>
      </c>
      <c r="D768">
        <v>1</v>
      </c>
      <c r="E768" t="s">
        <v>11</v>
      </c>
      <c r="F768" t="s">
        <v>9</v>
      </c>
      <c r="G768">
        <v>8062.7640000000001</v>
      </c>
    </row>
    <row r="769" spans="1:7" x14ac:dyDescent="0.25">
      <c r="A769">
        <v>42</v>
      </c>
      <c r="B769" t="s">
        <v>7</v>
      </c>
      <c r="C769">
        <v>29</v>
      </c>
      <c r="D769">
        <v>1</v>
      </c>
      <c r="E769" t="s">
        <v>11</v>
      </c>
      <c r="F769" t="s">
        <v>9</v>
      </c>
      <c r="G769">
        <v>7050.6419999999998</v>
      </c>
    </row>
    <row r="770" spans="1:7" x14ac:dyDescent="0.25">
      <c r="A770">
        <v>64</v>
      </c>
      <c r="B770" t="s">
        <v>7</v>
      </c>
      <c r="C770">
        <v>39.700000000000003</v>
      </c>
      <c r="D770">
        <v>0</v>
      </c>
      <c r="E770" t="s">
        <v>11</v>
      </c>
      <c r="F770" t="s">
        <v>9</v>
      </c>
      <c r="G770">
        <v>14319.031000000001</v>
      </c>
    </row>
    <row r="771" spans="1:7" x14ac:dyDescent="0.25">
      <c r="A771">
        <v>38</v>
      </c>
      <c r="B771" t="s">
        <v>7</v>
      </c>
      <c r="C771">
        <v>19.475000000000001</v>
      </c>
      <c r="D771">
        <v>2</v>
      </c>
      <c r="E771" t="s">
        <v>11</v>
      </c>
      <c r="F771" t="s">
        <v>13</v>
      </c>
      <c r="G771">
        <v>6933.2422500000002</v>
      </c>
    </row>
    <row r="772" spans="1:7" x14ac:dyDescent="0.25">
      <c r="A772">
        <v>61</v>
      </c>
      <c r="B772" t="s">
        <v>10</v>
      </c>
      <c r="C772">
        <v>36.1</v>
      </c>
      <c r="D772">
        <v>3</v>
      </c>
      <c r="E772" t="s">
        <v>11</v>
      </c>
      <c r="F772" t="s">
        <v>9</v>
      </c>
      <c r="G772">
        <v>27941.28758</v>
      </c>
    </row>
    <row r="773" spans="1:7" x14ac:dyDescent="0.25">
      <c r="A773">
        <v>53</v>
      </c>
      <c r="B773" t="s">
        <v>7</v>
      </c>
      <c r="C773">
        <v>26.7</v>
      </c>
      <c r="D773">
        <v>2</v>
      </c>
      <c r="E773" t="s">
        <v>11</v>
      </c>
      <c r="F773" t="s">
        <v>9</v>
      </c>
      <c r="G773">
        <v>11150.78</v>
      </c>
    </row>
    <row r="774" spans="1:7" x14ac:dyDescent="0.25">
      <c r="A774">
        <v>44</v>
      </c>
      <c r="B774" t="s">
        <v>7</v>
      </c>
      <c r="C774">
        <v>36.479999999999997</v>
      </c>
      <c r="D774">
        <v>0</v>
      </c>
      <c r="E774" t="s">
        <v>11</v>
      </c>
      <c r="F774" t="s">
        <v>14</v>
      </c>
      <c r="G774">
        <v>12797.20962</v>
      </c>
    </row>
    <row r="775" spans="1:7" x14ac:dyDescent="0.25">
      <c r="A775">
        <v>19</v>
      </c>
      <c r="B775" t="s">
        <v>7</v>
      </c>
      <c r="C775">
        <v>28.88</v>
      </c>
      <c r="D775">
        <v>0</v>
      </c>
      <c r="E775" t="s">
        <v>8</v>
      </c>
      <c r="F775" t="s">
        <v>13</v>
      </c>
      <c r="G775">
        <v>17748.5062</v>
      </c>
    </row>
    <row r="776" spans="1:7" x14ac:dyDescent="0.25">
      <c r="A776">
        <v>41</v>
      </c>
      <c r="B776" t="s">
        <v>10</v>
      </c>
      <c r="C776">
        <v>34.200000000000003</v>
      </c>
      <c r="D776">
        <v>2</v>
      </c>
      <c r="E776" t="s">
        <v>11</v>
      </c>
      <c r="F776" t="s">
        <v>13</v>
      </c>
      <c r="G776">
        <v>7261.741</v>
      </c>
    </row>
    <row r="777" spans="1:7" x14ac:dyDescent="0.25">
      <c r="A777">
        <v>51</v>
      </c>
      <c r="B777" t="s">
        <v>10</v>
      </c>
      <c r="C777">
        <v>33.33</v>
      </c>
      <c r="D777">
        <v>3</v>
      </c>
      <c r="E777" t="s">
        <v>11</v>
      </c>
      <c r="F777" t="s">
        <v>12</v>
      </c>
      <c r="G777">
        <v>10560.4917</v>
      </c>
    </row>
    <row r="778" spans="1:7" x14ac:dyDescent="0.25">
      <c r="A778">
        <v>40</v>
      </c>
      <c r="B778" t="s">
        <v>10</v>
      </c>
      <c r="C778">
        <v>32.299999999999997</v>
      </c>
      <c r="D778">
        <v>2</v>
      </c>
      <c r="E778" t="s">
        <v>11</v>
      </c>
      <c r="F778" t="s">
        <v>13</v>
      </c>
      <c r="G778">
        <v>6986.6970000000001</v>
      </c>
    </row>
    <row r="779" spans="1:7" x14ac:dyDescent="0.25">
      <c r="A779">
        <v>45</v>
      </c>
      <c r="B779" t="s">
        <v>10</v>
      </c>
      <c r="C779">
        <v>39.805</v>
      </c>
      <c r="D779">
        <v>0</v>
      </c>
      <c r="E779" t="s">
        <v>11</v>
      </c>
      <c r="F779" t="s">
        <v>14</v>
      </c>
      <c r="G779">
        <v>7448.4039499999999</v>
      </c>
    </row>
    <row r="780" spans="1:7" x14ac:dyDescent="0.25">
      <c r="A780">
        <v>35</v>
      </c>
      <c r="B780" t="s">
        <v>10</v>
      </c>
      <c r="C780">
        <v>34.32</v>
      </c>
      <c r="D780">
        <v>3</v>
      </c>
      <c r="E780" t="s">
        <v>11</v>
      </c>
      <c r="F780" t="s">
        <v>12</v>
      </c>
      <c r="G780">
        <v>5934.3797999999997</v>
      </c>
    </row>
    <row r="781" spans="1:7" x14ac:dyDescent="0.25">
      <c r="A781">
        <v>53</v>
      </c>
      <c r="B781" t="s">
        <v>10</v>
      </c>
      <c r="C781">
        <v>28.88</v>
      </c>
      <c r="D781">
        <v>0</v>
      </c>
      <c r="E781" t="s">
        <v>11</v>
      </c>
      <c r="F781" t="s">
        <v>13</v>
      </c>
      <c r="G781">
        <v>9869.8101999999999</v>
      </c>
    </row>
    <row r="782" spans="1:7" x14ac:dyDescent="0.25">
      <c r="A782">
        <v>30</v>
      </c>
      <c r="B782" t="s">
        <v>10</v>
      </c>
      <c r="C782">
        <v>24.4</v>
      </c>
      <c r="D782">
        <v>3</v>
      </c>
      <c r="E782" t="s">
        <v>8</v>
      </c>
      <c r="F782" t="s">
        <v>9</v>
      </c>
      <c r="G782">
        <v>18259.216</v>
      </c>
    </row>
    <row r="783" spans="1:7" x14ac:dyDescent="0.25">
      <c r="A783">
        <v>18</v>
      </c>
      <c r="B783" t="s">
        <v>10</v>
      </c>
      <c r="C783">
        <v>41.14</v>
      </c>
      <c r="D783">
        <v>0</v>
      </c>
      <c r="E783" t="s">
        <v>11</v>
      </c>
      <c r="F783" t="s">
        <v>12</v>
      </c>
      <c r="G783">
        <v>1146.7965999999999</v>
      </c>
    </row>
    <row r="784" spans="1:7" x14ac:dyDescent="0.25">
      <c r="A784">
        <v>51</v>
      </c>
      <c r="B784" t="s">
        <v>10</v>
      </c>
      <c r="C784">
        <v>35.97</v>
      </c>
      <c r="D784">
        <v>1</v>
      </c>
      <c r="E784" t="s">
        <v>11</v>
      </c>
      <c r="F784" t="s">
        <v>12</v>
      </c>
      <c r="G784">
        <v>9386.1612999999998</v>
      </c>
    </row>
    <row r="785" spans="1:7" x14ac:dyDescent="0.25">
      <c r="A785">
        <v>50</v>
      </c>
      <c r="B785" t="s">
        <v>7</v>
      </c>
      <c r="C785">
        <v>27.6</v>
      </c>
      <c r="D785">
        <v>1</v>
      </c>
      <c r="E785" t="s">
        <v>8</v>
      </c>
      <c r="F785" t="s">
        <v>9</v>
      </c>
      <c r="G785">
        <v>24520.263999999999</v>
      </c>
    </row>
    <row r="786" spans="1:7" x14ac:dyDescent="0.25">
      <c r="A786">
        <v>31</v>
      </c>
      <c r="B786" t="s">
        <v>7</v>
      </c>
      <c r="C786">
        <v>29.26</v>
      </c>
      <c r="D786">
        <v>1</v>
      </c>
      <c r="E786" t="s">
        <v>11</v>
      </c>
      <c r="F786" t="s">
        <v>12</v>
      </c>
      <c r="G786">
        <v>4350.5144</v>
      </c>
    </row>
    <row r="787" spans="1:7" x14ac:dyDescent="0.25">
      <c r="A787">
        <v>35</v>
      </c>
      <c r="B787" t="s">
        <v>7</v>
      </c>
      <c r="C787">
        <v>27.7</v>
      </c>
      <c r="D787">
        <v>3</v>
      </c>
      <c r="E787" t="s">
        <v>11</v>
      </c>
      <c r="F787" t="s">
        <v>9</v>
      </c>
      <c r="G787">
        <v>6414.1779999999999</v>
      </c>
    </row>
    <row r="788" spans="1:7" x14ac:dyDescent="0.25">
      <c r="A788">
        <v>60</v>
      </c>
      <c r="B788" t="s">
        <v>10</v>
      </c>
      <c r="C788">
        <v>36.954999999999998</v>
      </c>
      <c r="D788">
        <v>0</v>
      </c>
      <c r="E788" t="s">
        <v>11</v>
      </c>
      <c r="F788" t="s">
        <v>14</v>
      </c>
      <c r="G788">
        <v>12741.167450000001</v>
      </c>
    </row>
    <row r="789" spans="1:7" x14ac:dyDescent="0.25">
      <c r="A789">
        <v>21</v>
      </c>
      <c r="B789" t="s">
        <v>10</v>
      </c>
      <c r="C789">
        <v>36.86</v>
      </c>
      <c r="D789">
        <v>0</v>
      </c>
      <c r="E789" t="s">
        <v>11</v>
      </c>
      <c r="F789" t="s">
        <v>13</v>
      </c>
      <c r="G789">
        <v>1917.3184000000001</v>
      </c>
    </row>
    <row r="790" spans="1:7" x14ac:dyDescent="0.25">
      <c r="A790">
        <v>29</v>
      </c>
      <c r="B790" t="s">
        <v>10</v>
      </c>
      <c r="C790">
        <v>22.515000000000001</v>
      </c>
      <c r="D790">
        <v>3</v>
      </c>
      <c r="E790" t="s">
        <v>11</v>
      </c>
      <c r="F790" t="s">
        <v>14</v>
      </c>
      <c r="G790">
        <v>5209.5788499999999</v>
      </c>
    </row>
    <row r="791" spans="1:7" x14ac:dyDescent="0.25">
      <c r="A791">
        <v>62</v>
      </c>
      <c r="B791" t="s">
        <v>7</v>
      </c>
      <c r="C791">
        <v>29.92</v>
      </c>
      <c r="D791">
        <v>0</v>
      </c>
      <c r="E791" t="s">
        <v>11</v>
      </c>
      <c r="F791" t="s">
        <v>12</v>
      </c>
      <c r="G791">
        <v>13457.960800000001</v>
      </c>
    </row>
    <row r="792" spans="1:7" x14ac:dyDescent="0.25">
      <c r="A792">
        <v>39</v>
      </c>
      <c r="B792" t="s">
        <v>7</v>
      </c>
      <c r="C792">
        <v>41.8</v>
      </c>
      <c r="D792">
        <v>0</v>
      </c>
      <c r="E792" t="s">
        <v>11</v>
      </c>
      <c r="F792" t="s">
        <v>12</v>
      </c>
      <c r="G792">
        <v>5662.2250000000004</v>
      </c>
    </row>
    <row r="793" spans="1:7" x14ac:dyDescent="0.25">
      <c r="A793">
        <v>19</v>
      </c>
      <c r="B793" t="s">
        <v>10</v>
      </c>
      <c r="C793">
        <v>27.6</v>
      </c>
      <c r="D793">
        <v>0</v>
      </c>
      <c r="E793" t="s">
        <v>11</v>
      </c>
      <c r="F793" t="s">
        <v>9</v>
      </c>
      <c r="G793">
        <v>1252.4069999999999</v>
      </c>
    </row>
    <row r="794" spans="1:7" x14ac:dyDescent="0.25">
      <c r="A794">
        <v>22</v>
      </c>
      <c r="B794" t="s">
        <v>7</v>
      </c>
      <c r="C794">
        <v>23.18</v>
      </c>
      <c r="D794">
        <v>0</v>
      </c>
      <c r="E794" t="s">
        <v>11</v>
      </c>
      <c r="F794" t="s">
        <v>14</v>
      </c>
      <c r="G794">
        <v>2731.9122000000002</v>
      </c>
    </row>
    <row r="795" spans="1:7" x14ac:dyDescent="0.25">
      <c r="A795">
        <v>53</v>
      </c>
      <c r="B795" t="s">
        <v>10</v>
      </c>
      <c r="C795">
        <v>20.9</v>
      </c>
      <c r="D795">
        <v>0</v>
      </c>
      <c r="E795" t="s">
        <v>8</v>
      </c>
      <c r="F795" t="s">
        <v>12</v>
      </c>
      <c r="G795">
        <v>21195.817999999999</v>
      </c>
    </row>
    <row r="796" spans="1:7" x14ac:dyDescent="0.25">
      <c r="A796">
        <v>39</v>
      </c>
      <c r="B796" t="s">
        <v>7</v>
      </c>
      <c r="C796">
        <v>31.92</v>
      </c>
      <c r="D796">
        <v>2</v>
      </c>
      <c r="E796" t="s">
        <v>11</v>
      </c>
      <c r="F796" t="s">
        <v>13</v>
      </c>
      <c r="G796">
        <v>7209.4917999999998</v>
      </c>
    </row>
    <row r="797" spans="1:7" x14ac:dyDescent="0.25">
      <c r="A797">
        <v>27</v>
      </c>
      <c r="B797" t="s">
        <v>10</v>
      </c>
      <c r="C797">
        <v>28.5</v>
      </c>
      <c r="D797">
        <v>0</v>
      </c>
      <c r="E797" t="s">
        <v>8</v>
      </c>
      <c r="F797" t="s">
        <v>13</v>
      </c>
      <c r="G797">
        <v>18310.741999999998</v>
      </c>
    </row>
    <row r="798" spans="1:7" x14ac:dyDescent="0.25">
      <c r="A798">
        <v>30</v>
      </c>
      <c r="B798" t="s">
        <v>10</v>
      </c>
      <c r="C798">
        <v>44.22</v>
      </c>
      <c r="D798">
        <v>2</v>
      </c>
      <c r="E798" t="s">
        <v>11</v>
      </c>
      <c r="F798" t="s">
        <v>12</v>
      </c>
      <c r="G798">
        <v>4266.1657999999998</v>
      </c>
    </row>
    <row r="799" spans="1:7" x14ac:dyDescent="0.25">
      <c r="A799">
        <v>30</v>
      </c>
      <c r="B799" t="s">
        <v>7</v>
      </c>
      <c r="C799">
        <v>22.895</v>
      </c>
      <c r="D799">
        <v>1</v>
      </c>
      <c r="E799" t="s">
        <v>11</v>
      </c>
      <c r="F799" t="s">
        <v>14</v>
      </c>
      <c r="G799">
        <v>4719.52405</v>
      </c>
    </row>
    <row r="800" spans="1:7" x14ac:dyDescent="0.25">
      <c r="A800">
        <v>58</v>
      </c>
      <c r="B800" t="s">
        <v>7</v>
      </c>
      <c r="C800">
        <v>33.1</v>
      </c>
      <c r="D800">
        <v>0</v>
      </c>
      <c r="E800" t="s">
        <v>11</v>
      </c>
      <c r="F800" t="s">
        <v>9</v>
      </c>
      <c r="G800">
        <v>11848.141</v>
      </c>
    </row>
    <row r="801" spans="1:7" x14ac:dyDescent="0.25">
      <c r="A801">
        <v>33</v>
      </c>
      <c r="B801" t="s">
        <v>10</v>
      </c>
      <c r="C801">
        <v>24.795000000000002</v>
      </c>
      <c r="D801">
        <v>0</v>
      </c>
      <c r="E801" t="s">
        <v>8</v>
      </c>
      <c r="F801" t="s">
        <v>14</v>
      </c>
      <c r="G801">
        <v>17904.527050000001</v>
      </c>
    </row>
    <row r="802" spans="1:7" x14ac:dyDescent="0.25">
      <c r="A802">
        <v>42</v>
      </c>
      <c r="B802" t="s">
        <v>7</v>
      </c>
      <c r="C802">
        <v>26.18</v>
      </c>
      <c r="D802">
        <v>1</v>
      </c>
      <c r="E802" t="s">
        <v>11</v>
      </c>
      <c r="F802" t="s">
        <v>12</v>
      </c>
      <c r="G802">
        <v>7046.7222000000002</v>
      </c>
    </row>
    <row r="803" spans="1:7" x14ac:dyDescent="0.25">
      <c r="A803">
        <v>64</v>
      </c>
      <c r="B803" t="s">
        <v>7</v>
      </c>
      <c r="C803">
        <v>35.97</v>
      </c>
      <c r="D803">
        <v>0</v>
      </c>
      <c r="E803" t="s">
        <v>11</v>
      </c>
      <c r="F803" t="s">
        <v>12</v>
      </c>
      <c r="G803">
        <v>14313.846299999999</v>
      </c>
    </row>
    <row r="804" spans="1:7" x14ac:dyDescent="0.25">
      <c r="A804">
        <v>21</v>
      </c>
      <c r="B804" t="s">
        <v>10</v>
      </c>
      <c r="C804">
        <v>22.3</v>
      </c>
      <c r="D804">
        <v>1</v>
      </c>
      <c r="E804" t="s">
        <v>11</v>
      </c>
      <c r="F804" t="s">
        <v>9</v>
      </c>
      <c r="G804">
        <v>2103.08</v>
      </c>
    </row>
    <row r="805" spans="1:7" x14ac:dyDescent="0.25">
      <c r="A805">
        <v>18</v>
      </c>
      <c r="B805" t="s">
        <v>7</v>
      </c>
      <c r="C805">
        <v>42.24</v>
      </c>
      <c r="D805">
        <v>0</v>
      </c>
      <c r="E805" t="s">
        <v>8</v>
      </c>
      <c r="F805" t="s">
        <v>12</v>
      </c>
      <c r="G805">
        <v>38792.685599999997</v>
      </c>
    </row>
    <row r="806" spans="1:7" x14ac:dyDescent="0.25">
      <c r="A806">
        <v>23</v>
      </c>
      <c r="B806" t="s">
        <v>10</v>
      </c>
      <c r="C806">
        <v>26.51</v>
      </c>
      <c r="D806">
        <v>0</v>
      </c>
      <c r="E806" t="s">
        <v>11</v>
      </c>
      <c r="F806" t="s">
        <v>12</v>
      </c>
      <c r="G806">
        <v>1815.8759</v>
      </c>
    </row>
    <row r="807" spans="1:7" x14ac:dyDescent="0.25">
      <c r="A807">
        <v>45</v>
      </c>
      <c r="B807" t="s">
        <v>7</v>
      </c>
      <c r="C807">
        <v>35.814999999999998</v>
      </c>
      <c r="D807">
        <v>0</v>
      </c>
      <c r="E807" t="s">
        <v>11</v>
      </c>
      <c r="F807" t="s">
        <v>13</v>
      </c>
      <c r="G807">
        <v>7731.8578500000003</v>
      </c>
    </row>
    <row r="808" spans="1:7" x14ac:dyDescent="0.25">
      <c r="A808">
        <v>40</v>
      </c>
      <c r="B808" t="s">
        <v>7</v>
      </c>
      <c r="C808">
        <v>41.42</v>
      </c>
      <c r="D808">
        <v>1</v>
      </c>
      <c r="E808" t="s">
        <v>11</v>
      </c>
      <c r="F808" t="s">
        <v>13</v>
      </c>
      <c r="G808">
        <v>28476.734990000001</v>
      </c>
    </row>
    <row r="809" spans="1:7" x14ac:dyDescent="0.25">
      <c r="A809">
        <v>19</v>
      </c>
      <c r="B809" t="s">
        <v>7</v>
      </c>
      <c r="C809">
        <v>36.575000000000003</v>
      </c>
      <c r="D809">
        <v>0</v>
      </c>
      <c r="E809" t="s">
        <v>11</v>
      </c>
      <c r="F809" t="s">
        <v>13</v>
      </c>
      <c r="G809">
        <v>2136.8822500000001</v>
      </c>
    </row>
    <row r="810" spans="1:7" x14ac:dyDescent="0.25">
      <c r="A810">
        <v>18</v>
      </c>
      <c r="B810" t="s">
        <v>10</v>
      </c>
      <c r="C810">
        <v>30.14</v>
      </c>
      <c r="D810">
        <v>0</v>
      </c>
      <c r="E810" t="s">
        <v>11</v>
      </c>
      <c r="F810" t="s">
        <v>12</v>
      </c>
      <c r="G810">
        <v>1131.5065999999999</v>
      </c>
    </row>
    <row r="811" spans="1:7" x14ac:dyDescent="0.25">
      <c r="A811">
        <v>25</v>
      </c>
      <c r="B811" t="s">
        <v>10</v>
      </c>
      <c r="C811">
        <v>25.84</v>
      </c>
      <c r="D811">
        <v>1</v>
      </c>
      <c r="E811" t="s">
        <v>11</v>
      </c>
      <c r="F811" t="s">
        <v>14</v>
      </c>
      <c r="G811">
        <v>3309.7926000000002</v>
      </c>
    </row>
    <row r="812" spans="1:7" x14ac:dyDescent="0.25">
      <c r="A812">
        <v>46</v>
      </c>
      <c r="B812" t="s">
        <v>7</v>
      </c>
      <c r="C812">
        <v>30.8</v>
      </c>
      <c r="D812">
        <v>3</v>
      </c>
      <c r="E812" t="s">
        <v>11</v>
      </c>
      <c r="F812" t="s">
        <v>9</v>
      </c>
      <c r="G812">
        <v>9414.92</v>
      </c>
    </row>
    <row r="813" spans="1:7" x14ac:dyDescent="0.25">
      <c r="A813">
        <v>33</v>
      </c>
      <c r="B813" t="s">
        <v>7</v>
      </c>
      <c r="C813">
        <v>42.94</v>
      </c>
      <c r="D813">
        <v>3</v>
      </c>
      <c r="E813" t="s">
        <v>11</v>
      </c>
      <c r="F813" t="s">
        <v>13</v>
      </c>
      <c r="G813">
        <v>6360.9935999999998</v>
      </c>
    </row>
    <row r="814" spans="1:7" x14ac:dyDescent="0.25">
      <c r="A814">
        <v>54</v>
      </c>
      <c r="B814" t="s">
        <v>10</v>
      </c>
      <c r="C814">
        <v>21.01</v>
      </c>
      <c r="D814">
        <v>2</v>
      </c>
      <c r="E814" t="s">
        <v>11</v>
      </c>
      <c r="F814" t="s">
        <v>12</v>
      </c>
      <c r="G814">
        <v>11013.7119</v>
      </c>
    </row>
    <row r="815" spans="1:7" x14ac:dyDescent="0.25">
      <c r="A815">
        <v>28</v>
      </c>
      <c r="B815" t="s">
        <v>10</v>
      </c>
      <c r="C815">
        <v>22.515000000000001</v>
      </c>
      <c r="D815">
        <v>2</v>
      </c>
      <c r="E815" t="s">
        <v>11</v>
      </c>
      <c r="F815" t="s">
        <v>14</v>
      </c>
      <c r="G815">
        <v>4428.8878500000001</v>
      </c>
    </row>
    <row r="816" spans="1:7" x14ac:dyDescent="0.25">
      <c r="A816">
        <v>36</v>
      </c>
      <c r="B816" t="s">
        <v>10</v>
      </c>
      <c r="C816">
        <v>34.43</v>
      </c>
      <c r="D816">
        <v>2</v>
      </c>
      <c r="E816" t="s">
        <v>11</v>
      </c>
      <c r="F816" t="s">
        <v>12</v>
      </c>
      <c r="G816">
        <v>5584.3056999999999</v>
      </c>
    </row>
    <row r="817" spans="1:7" x14ac:dyDescent="0.25">
      <c r="A817">
        <v>20</v>
      </c>
      <c r="B817" t="s">
        <v>7</v>
      </c>
      <c r="C817">
        <v>31.46</v>
      </c>
      <c r="D817">
        <v>0</v>
      </c>
      <c r="E817" t="s">
        <v>11</v>
      </c>
      <c r="F817" t="s">
        <v>12</v>
      </c>
      <c r="G817">
        <v>1877.9294</v>
      </c>
    </row>
    <row r="818" spans="1:7" x14ac:dyDescent="0.25">
      <c r="A818">
        <v>24</v>
      </c>
      <c r="B818" t="s">
        <v>7</v>
      </c>
      <c r="C818">
        <v>24.225000000000001</v>
      </c>
      <c r="D818">
        <v>0</v>
      </c>
      <c r="E818" t="s">
        <v>11</v>
      </c>
      <c r="F818" t="s">
        <v>13</v>
      </c>
      <c r="G818">
        <v>2842.7607499999999</v>
      </c>
    </row>
    <row r="819" spans="1:7" x14ac:dyDescent="0.25">
      <c r="A819">
        <v>23</v>
      </c>
      <c r="B819" t="s">
        <v>10</v>
      </c>
      <c r="C819">
        <v>37.1</v>
      </c>
      <c r="D819">
        <v>3</v>
      </c>
      <c r="E819" t="s">
        <v>11</v>
      </c>
      <c r="F819" t="s">
        <v>9</v>
      </c>
      <c r="G819">
        <v>3597.596</v>
      </c>
    </row>
    <row r="820" spans="1:7" x14ac:dyDescent="0.25">
      <c r="A820">
        <v>47</v>
      </c>
      <c r="B820" t="s">
        <v>7</v>
      </c>
      <c r="C820">
        <v>26.125</v>
      </c>
      <c r="D820">
        <v>1</v>
      </c>
      <c r="E820" t="s">
        <v>8</v>
      </c>
      <c r="F820" t="s">
        <v>14</v>
      </c>
      <c r="G820">
        <v>23401.30575</v>
      </c>
    </row>
    <row r="821" spans="1:7" x14ac:dyDescent="0.25">
      <c r="A821">
        <v>33</v>
      </c>
      <c r="B821" t="s">
        <v>7</v>
      </c>
      <c r="C821">
        <v>35.53</v>
      </c>
      <c r="D821">
        <v>0</v>
      </c>
      <c r="E821" t="s">
        <v>8</v>
      </c>
      <c r="F821" t="s">
        <v>13</v>
      </c>
      <c r="G821">
        <v>55135.402090000003</v>
      </c>
    </row>
    <row r="822" spans="1:7" x14ac:dyDescent="0.25">
      <c r="A822">
        <v>45</v>
      </c>
      <c r="B822" t="s">
        <v>10</v>
      </c>
      <c r="C822">
        <v>33.700000000000003</v>
      </c>
      <c r="D822">
        <v>1</v>
      </c>
      <c r="E822" t="s">
        <v>11</v>
      </c>
      <c r="F822" t="s">
        <v>9</v>
      </c>
      <c r="G822">
        <v>7445.9179999999997</v>
      </c>
    </row>
    <row r="823" spans="1:7" x14ac:dyDescent="0.25">
      <c r="A823">
        <v>26</v>
      </c>
      <c r="B823" t="s">
        <v>10</v>
      </c>
      <c r="C823">
        <v>17.670000000000002</v>
      </c>
      <c r="D823">
        <v>0</v>
      </c>
      <c r="E823" t="s">
        <v>11</v>
      </c>
      <c r="F823" t="s">
        <v>13</v>
      </c>
      <c r="G823">
        <v>2680.9493000000002</v>
      </c>
    </row>
    <row r="824" spans="1:7" x14ac:dyDescent="0.25">
      <c r="A824">
        <v>18</v>
      </c>
      <c r="B824" t="s">
        <v>7</v>
      </c>
      <c r="C824">
        <v>31.13</v>
      </c>
      <c r="D824">
        <v>0</v>
      </c>
      <c r="E824" t="s">
        <v>11</v>
      </c>
      <c r="F824" t="s">
        <v>12</v>
      </c>
      <c r="G824">
        <v>1621.8827000000001</v>
      </c>
    </row>
    <row r="825" spans="1:7" x14ac:dyDescent="0.25">
      <c r="A825">
        <v>44</v>
      </c>
      <c r="B825" t="s">
        <v>7</v>
      </c>
      <c r="C825">
        <v>29.81</v>
      </c>
      <c r="D825">
        <v>2</v>
      </c>
      <c r="E825" t="s">
        <v>11</v>
      </c>
      <c r="F825" t="s">
        <v>12</v>
      </c>
      <c r="G825">
        <v>8219.2039000000004</v>
      </c>
    </row>
    <row r="826" spans="1:7" x14ac:dyDescent="0.25">
      <c r="A826">
        <v>60</v>
      </c>
      <c r="B826" t="s">
        <v>10</v>
      </c>
      <c r="C826">
        <v>24.32</v>
      </c>
      <c r="D826">
        <v>0</v>
      </c>
      <c r="E826" t="s">
        <v>11</v>
      </c>
      <c r="F826" t="s">
        <v>13</v>
      </c>
      <c r="G826">
        <v>12523.604799999999</v>
      </c>
    </row>
    <row r="827" spans="1:7" x14ac:dyDescent="0.25">
      <c r="A827">
        <v>64</v>
      </c>
      <c r="B827" t="s">
        <v>7</v>
      </c>
      <c r="C827">
        <v>31.824999999999999</v>
      </c>
      <c r="D827">
        <v>2</v>
      </c>
      <c r="E827" t="s">
        <v>11</v>
      </c>
      <c r="F827" t="s">
        <v>14</v>
      </c>
      <c r="G827">
        <v>16069.08475</v>
      </c>
    </row>
    <row r="828" spans="1:7" x14ac:dyDescent="0.25">
      <c r="A828">
        <v>56</v>
      </c>
      <c r="B828" t="s">
        <v>10</v>
      </c>
      <c r="C828">
        <v>31.79</v>
      </c>
      <c r="D828">
        <v>2</v>
      </c>
      <c r="E828" t="s">
        <v>8</v>
      </c>
      <c r="F828" t="s">
        <v>12</v>
      </c>
      <c r="G828">
        <v>43813.866099999999</v>
      </c>
    </row>
    <row r="829" spans="1:7" x14ac:dyDescent="0.25">
      <c r="A829">
        <v>36</v>
      </c>
      <c r="B829" t="s">
        <v>10</v>
      </c>
      <c r="C829">
        <v>28.024999999999999</v>
      </c>
      <c r="D829">
        <v>1</v>
      </c>
      <c r="E829" t="s">
        <v>8</v>
      </c>
      <c r="F829" t="s">
        <v>14</v>
      </c>
      <c r="G829">
        <v>20773.62775</v>
      </c>
    </row>
    <row r="830" spans="1:7" x14ac:dyDescent="0.25">
      <c r="A830">
        <v>41</v>
      </c>
      <c r="B830" t="s">
        <v>10</v>
      </c>
      <c r="C830">
        <v>30.78</v>
      </c>
      <c r="D830">
        <v>3</v>
      </c>
      <c r="E830" t="s">
        <v>8</v>
      </c>
      <c r="F830" t="s">
        <v>14</v>
      </c>
      <c r="G830">
        <v>39597.407200000001</v>
      </c>
    </row>
    <row r="831" spans="1:7" x14ac:dyDescent="0.25">
      <c r="A831">
        <v>39</v>
      </c>
      <c r="B831" t="s">
        <v>10</v>
      </c>
      <c r="C831">
        <v>21.85</v>
      </c>
      <c r="D831">
        <v>1</v>
      </c>
      <c r="E831" t="s">
        <v>11</v>
      </c>
      <c r="F831" t="s">
        <v>13</v>
      </c>
      <c r="G831">
        <v>6117.4944999999998</v>
      </c>
    </row>
    <row r="832" spans="1:7" x14ac:dyDescent="0.25">
      <c r="A832">
        <v>63</v>
      </c>
      <c r="B832" t="s">
        <v>10</v>
      </c>
      <c r="C832">
        <v>33.1</v>
      </c>
      <c r="D832">
        <v>0</v>
      </c>
      <c r="E832" t="s">
        <v>11</v>
      </c>
      <c r="F832" t="s">
        <v>9</v>
      </c>
      <c r="G832">
        <v>13393.755999999999</v>
      </c>
    </row>
    <row r="833" spans="1:7" x14ac:dyDescent="0.25">
      <c r="A833">
        <v>36</v>
      </c>
      <c r="B833" t="s">
        <v>7</v>
      </c>
      <c r="C833">
        <v>25.84</v>
      </c>
      <c r="D833">
        <v>0</v>
      </c>
      <c r="E833" t="s">
        <v>11</v>
      </c>
      <c r="F833" t="s">
        <v>13</v>
      </c>
      <c r="G833">
        <v>5266.3656000000001</v>
      </c>
    </row>
    <row r="834" spans="1:7" x14ac:dyDescent="0.25">
      <c r="A834">
        <v>28</v>
      </c>
      <c r="B834" t="s">
        <v>7</v>
      </c>
      <c r="C834">
        <v>23.844999999999999</v>
      </c>
      <c r="D834">
        <v>2</v>
      </c>
      <c r="E834" t="s">
        <v>11</v>
      </c>
      <c r="F834" t="s">
        <v>13</v>
      </c>
      <c r="G834">
        <v>4719.7365499999996</v>
      </c>
    </row>
    <row r="835" spans="1:7" x14ac:dyDescent="0.25">
      <c r="A835">
        <v>58</v>
      </c>
      <c r="B835" t="s">
        <v>10</v>
      </c>
      <c r="C835">
        <v>34.39</v>
      </c>
      <c r="D835">
        <v>0</v>
      </c>
      <c r="E835" t="s">
        <v>11</v>
      </c>
      <c r="F835" t="s">
        <v>13</v>
      </c>
      <c r="G835">
        <v>11743.9341</v>
      </c>
    </row>
    <row r="836" spans="1:7" x14ac:dyDescent="0.25">
      <c r="A836">
        <v>36</v>
      </c>
      <c r="B836" t="s">
        <v>10</v>
      </c>
      <c r="C836">
        <v>33.82</v>
      </c>
      <c r="D836">
        <v>1</v>
      </c>
      <c r="E836" t="s">
        <v>11</v>
      </c>
      <c r="F836" t="s">
        <v>13</v>
      </c>
      <c r="G836">
        <v>5377.4578000000001</v>
      </c>
    </row>
    <row r="837" spans="1:7" x14ac:dyDescent="0.25">
      <c r="A837">
        <v>42</v>
      </c>
      <c r="B837" t="s">
        <v>10</v>
      </c>
      <c r="C837">
        <v>35.97</v>
      </c>
      <c r="D837">
        <v>2</v>
      </c>
      <c r="E837" t="s">
        <v>11</v>
      </c>
      <c r="F837" t="s">
        <v>12</v>
      </c>
      <c r="G837">
        <v>7160.3302999999996</v>
      </c>
    </row>
    <row r="838" spans="1:7" x14ac:dyDescent="0.25">
      <c r="A838">
        <v>36</v>
      </c>
      <c r="B838" t="s">
        <v>10</v>
      </c>
      <c r="C838">
        <v>31.5</v>
      </c>
      <c r="D838">
        <v>0</v>
      </c>
      <c r="E838" t="s">
        <v>11</v>
      </c>
      <c r="F838" t="s">
        <v>9</v>
      </c>
      <c r="G838">
        <v>4402.2330000000002</v>
      </c>
    </row>
    <row r="839" spans="1:7" x14ac:dyDescent="0.25">
      <c r="A839">
        <v>56</v>
      </c>
      <c r="B839" t="s">
        <v>7</v>
      </c>
      <c r="C839">
        <v>28.31</v>
      </c>
      <c r="D839">
        <v>0</v>
      </c>
      <c r="E839" t="s">
        <v>11</v>
      </c>
      <c r="F839" t="s">
        <v>14</v>
      </c>
      <c r="G839">
        <v>11657.7189</v>
      </c>
    </row>
    <row r="840" spans="1:7" x14ac:dyDescent="0.25">
      <c r="A840">
        <v>35</v>
      </c>
      <c r="B840" t="s">
        <v>7</v>
      </c>
      <c r="C840">
        <v>23.465</v>
      </c>
      <c r="D840">
        <v>2</v>
      </c>
      <c r="E840" t="s">
        <v>11</v>
      </c>
      <c r="F840" t="s">
        <v>14</v>
      </c>
      <c r="G840">
        <v>6402.2913500000004</v>
      </c>
    </row>
    <row r="841" spans="1:7" x14ac:dyDescent="0.25">
      <c r="A841">
        <v>59</v>
      </c>
      <c r="B841" t="s">
        <v>7</v>
      </c>
      <c r="C841">
        <v>31.35</v>
      </c>
      <c r="D841">
        <v>0</v>
      </c>
      <c r="E841" t="s">
        <v>11</v>
      </c>
      <c r="F841" t="s">
        <v>13</v>
      </c>
      <c r="G841">
        <v>12622.1795</v>
      </c>
    </row>
    <row r="842" spans="1:7" x14ac:dyDescent="0.25">
      <c r="A842">
        <v>21</v>
      </c>
      <c r="B842" t="s">
        <v>10</v>
      </c>
      <c r="C842">
        <v>31.1</v>
      </c>
      <c r="D842">
        <v>0</v>
      </c>
      <c r="E842" t="s">
        <v>11</v>
      </c>
      <c r="F842" t="s">
        <v>9</v>
      </c>
      <c r="G842">
        <v>1526.3119999999999</v>
      </c>
    </row>
    <row r="843" spans="1:7" x14ac:dyDescent="0.25">
      <c r="A843">
        <v>59</v>
      </c>
      <c r="B843" t="s">
        <v>10</v>
      </c>
      <c r="C843">
        <v>24.7</v>
      </c>
      <c r="D843">
        <v>0</v>
      </c>
      <c r="E843" t="s">
        <v>11</v>
      </c>
      <c r="F843" t="s">
        <v>14</v>
      </c>
      <c r="G843">
        <v>12323.936</v>
      </c>
    </row>
    <row r="844" spans="1:7" x14ac:dyDescent="0.25">
      <c r="A844">
        <v>23</v>
      </c>
      <c r="B844" t="s">
        <v>7</v>
      </c>
      <c r="C844">
        <v>32.78</v>
      </c>
      <c r="D844">
        <v>2</v>
      </c>
      <c r="E844" t="s">
        <v>8</v>
      </c>
      <c r="F844" t="s">
        <v>12</v>
      </c>
      <c r="G844">
        <v>36021.011200000001</v>
      </c>
    </row>
    <row r="845" spans="1:7" x14ac:dyDescent="0.25">
      <c r="A845">
        <v>57</v>
      </c>
      <c r="B845" t="s">
        <v>7</v>
      </c>
      <c r="C845">
        <v>29.81</v>
      </c>
      <c r="D845">
        <v>0</v>
      </c>
      <c r="E845" t="s">
        <v>8</v>
      </c>
      <c r="F845" t="s">
        <v>12</v>
      </c>
      <c r="G845">
        <v>27533.912899999999</v>
      </c>
    </row>
    <row r="846" spans="1:7" x14ac:dyDescent="0.25">
      <c r="A846">
        <v>53</v>
      </c>
      <c r="B846" t="s">
        <v>10</v>
      </c>
      <c r="C846">
        <v>30.495000000000001</v>
      </c>
      <c r="D846">
        <v>0</v>
      </c>
      <c r="E846" t="s">
        <v>11</v>
      </c>
      <c r="F846" t="s">
        <v>14</v>
      </c>
      <c r="G846">
        <v>10072.055050000001</v>
      </c>
    </row>
    <row r="847" spans="1:7" x14ac:dyDescent="0.25">
      <c r="A847">
        <v>60</v>
      </c>
      <c r="B847" t="s">
        <v>7</v>
      </c>
      <c r="C847">
        <v>32.450000000000003</v>
      </c>
      <c r="D847">
        <v>0</v>
      </c>
      <c r="E847" t="s">
        <v>8</v>
      </c>
      <c r="F847" t="s">
        <v>12</v>
      </c>
      <c r="G847">
        <v>45008.955499999996</v>
      </c>
    </row>
    <row r="848" spans="1:7" x14ac:dyDescent="0.25">
      <c r="A848">
        <v>51</v>
      </c>
      <c r="B848" t="s">
        <v>7</v>
      </c>
      <c r="C848">
        <v>34.200000000000003</v>
      </c>
      <c r="D848">
        <v>1</v>
      </c>
      <c r="E848" t="s">
        <v>11</v>
      </c>
      <c r="F848" t="s">
        <v>9</v>
      </c>
      <c r="G848">
        <v>9872.7009999999991</v>
      </c>
    </row>
    <row r="849" spans="1:7" x14ac:dyDescent="0.25">
      <c r="A849">
        <v>23</v>
      </c>
      <c r="B849" t="s">
        <v>10</v>
      </c>
      <c r="C849">
        <v>50.38</v>
      </c>
      <c r="D849">
        <v>1</v>
      </c>
      <c r="E849" t="s">
        <v>11</v>
      </c>
      <c r="F849" t="s">
        <v>12</v>
      </c>
      <c r="G849">
        <v>2438.0551999999998</v>
      </c>
    </row>
    <row r="850" spans="1:7" x14ac:dyDescent="0.25">
      <c r="A850">
        <v>27</v>
      </c>
      <c r="B850" t="s">
        <v>7</v>
      </c>
      <c r="C850">
        <v>24.1</v>
      </c>
      <c r="D850">
        <v>0</v>
      </c>
      <c r="E850" t="s">
        <v>11</v>
      </c>
      <c r="F850" t="s">
        <v>9</v>
      </c>
      <c r="G850">
        <v>2974.1260000000002</v>
      </c>
    </row>
    <row r="851" spans="1:7" x14ac:dyDescent="0.25">
      <c r="A851">
        <v>55</v>
      </c>
      <c r="B851" t="s">
        <v>10</v>
      </c>
      <c r="C851">
        <v>32.774999999999999</v>
      </c>
      <c r="D851">
        <v>0</v>
      </c>
      <c r="E851" t="s">
        <v>11</v>
      </c>
      <c r="F851" t="s">
        <v>13</v>
      </c>
      <c r="G851">
        <v>10601.632250000001</v>
      </c>
    </row>
    <row r="852" spans="1:7" x14ac:dyDescent="0.25">
      <c r="A852">
        <v>37</v>
      </c>
      <c r="B852" t="s">
        <v>7</v>
      </c>
      <c r="C852">
        <v>30.78</v>
      </c>
      <c r="D852">
        <v>0</v>
      </c>
      <c r="E852" t="s">
        <v>8</v>
      </c>
      <c r="F852" t="s">
        <v>14</v>
      </c>
      <c r="G852">
        <v>37270.1512</v>
      </c>
    </row>
    <row r="853" spans="1:7" x14ac:dyDescent="0.25">
      <c r="A853">
        <v>61</v>
      </c>
      <c r="B853" t="s">
        <v>10</v>
      </c>
      <c r="C853">
        <v>32.299999999999997</v>
      </c>
      <c r="D853">
        <v>2</v>
      </c>
      <c r="E853" t="s">
        <v>11</v>
      </c>
      <c r="F853" t="s">
        <v>13</v>
      </c>
      <c r="G853">
        <v>14119.62</v>
      </c>
    </row>
    <row r="854" spans="1:7" x14ac:dyDescent="0.25">
      <c r="A854">
        <v>46</v>
      </c>
      <c r="B854" t="s">
        <v>7</v>
      </c>
      <c r="C854">
        <v>35.53</v>
      </c>
      <c r="D854">
        <v>0</v>
      </c>
      <c r="E854" t="s">
        <v>8</v>
      </c>
      <c r="F854" t="s">
        <v>14</v>
      </c>
      <c r="G854">
        <v>42111.664700000001</v>
      </c>
    </row>
    <row r="855" spans="1:7" x14ac:dyDescent="0.25">
      <c r="A855">
        <v>53</v>
      </c>
      <c r="B855" t="s">
        <v>7</v>
      </c>
      <c r="C855">
        <v>23.75</v>
      </c>
      <c r="D855">
        <v>2</v>
      </c>
      <c r="E855" t="s">
        <v>11</v>
      </c>
      <c r="F855" t="s">
        <v>14</v>
      </c>
      <c r="G855">
        <v>11729.6795</v>
      </c>
    </row>
    <row r="856" spans="1:7" x14ac:dyDescent="0.25">
      <c r="A856">
        <v>49</v>
      </c>
      <c r="B856" t="s">
        <v>7</v>
      </c>
      <c r="C856">
        <v>23.844999999999999</v>
      </c>
      <c r="D856">
        <v>3</v>
      </c>
      <c r="E856" t="s">
        <v>8</v>
      </c>
      <c r="F856" t="s">
        <v>14</v>
      </c>
      <c r="G856">
        <v>24106.912550000001</v>
      </c>
    </row>
    <row r="857" spans="1:7" x14ac:dyDescent="0.25">
      <c r="A857">
        <v>20</v>
      </c>
      <c r="B857" t="s">
        <v>7</v>
      </c>
      <c r="C857">
        <v>29.6</v>
      </c>
      <c r="D857">
        <v>0</v>
      </c>
      <c r="E857" t="s">
        <v>11</v>
      </c>
      <c r="F857" t="s">
        <v>9</v>
      </c>
      <c r="G857">
        <v>1875.3440000000001</v>
      </c>
    </row>
    <row r="858" spans="1:7" x14ac:dyDescent="0.25">
      <c r="A858">
        <v>48</v>
      </c>
      <c r="B858" t="s">
        <v>7</v>
      </c>
      <c r="C858">
        <v>33.11</v>
      </c>
      <c r="D858">
        <v>0</v>
      </c>
      <c r="E858" t="s">
        <v>8</v>
      </c>
      <c r="F858" t="s">
        <v>12</v>
      </c>
      <c r="G858">
        <v>40974.164900000003</v>
      </c>
    </row>
    <row r="859" spans="1:7" x14ac:dyDescent="0.25">
      <c r="A859">
        <v>25</v>
      </c>
      <c r="B859" t="s">
        <v>10</v>
      </c>
      <c r="C859">
        <v>24.13</v>
      </c>
      <c r="D859">
        <v>0</v>
      </c>
      <c r="E859" t="s">
        <v>8</v>
      </c>
      <c r="F859" t="s">
        <v>13</v>
      </c>
      <c r="G859">
        <v>15817.985699999999</v>
      </c>
    </row>
    <row r="860" spans="1:7" x14ac:dyDescent="0.25">
      <c r="A860">
        <v>25</v>
      </c>
      <c r="B860" t="s">
        <v>7</v>
      </c>
      <c r="C860">
        <v>32.229999999999997</v>
      </c>
      <c r="D860">
        <v>1</v>
      </c>
      <c r="E860" t="s">
        <v>11</v>
      </c>
      <c r="F860" t="s">
        <v>12</v>
      </c>
      <c r="G860">
        <v>18218.161390000001</v>
      </c>
    </row>
    <row r="861" spans="1:7" x14ac:dyDescent="0.25">
      <c r="A861">
        <v>57</v>
      </c>
      <c r="B861" t="s">
        <v>10</v>
      </c>
      <c r="C861">
        <v>28.1</v>
      </c>
      <c r="D861">
        <v>0</v>
      </c>
      <c r="E861" t="s">
        <v>11</v>
      </c>
      <c r="F861" t="s">
        <v>9</v>
      </c>
      <c r="G861">
        <v>10965.446</v>
      </c>
    </row>
    <row r="862" spans="1:7" x14ac:dyDescent="0.25">
      <c r="A862">
        <v>37</v>
      </c>
      <c r="B862" t="s">
        <v>7</v>
      </c>
      <c r="C862">
        <v>47.6</v>
      </c>
      <c r="D862">
        <v>2</v>
      </c>
      <c r="E862" t="s">
        <v>8</v>
      </c>
      <c r="F862" t="s">
        <v>9</v>
      </c>
      <c r="G862">
        <v>46113.510999999999</v>
      </c>
    </row>
    <row r="863" spans="1:7" x14ac:dyDescent="0.25">
      <c r="A863">
        <v>38</v>
      </c>
      <c r="B863" t="s">
        <v>7</v>
      </c>
      <c r="C863">
        <v>28</v>
      </c>
      <c r="D863">
        <v>3</v>
      </c>
      <c r="E863" t="s">
        <v>11</v>
      </c>
      <c r="F863" t="s">
        <v>9</v>
      </c>
      <c r="G863">
        <v>7151.0919999999996</v>
      </c>
    </row>
    <row r="864" spans="1:7" x14ac:dyDescent="0.25">
      <c r="A864">
        <v>55</v>
      </c>
      <c r="B864" t="s">
        <v>7</v>
      </c>
      <c r="C864">
        <v>33.534999999999997</v>
      </c>
      <c r="D864">
        <v>2</v>
      </c>
      <c r="E864" t="s">
        <v>11</v>
      </c>
      <c r="F864" t="s">
        <v>13</v>
      </c>
      <c r="G864">
        <v>12269.68865</v>
      </c>
    </row>
    <row r="865" spans="1:7" x14ac:dyDescent="0.25">
      <c r="A865">
        <v>36</v>
      </c>
      <c r="B865" t="s">
        <v>7</v>
      </c>
      <c r="C865">
        <v>19.855</v>
      </c>
      <c r="D865">
        <v>0</v>
      </c>
      <c r="E865" t="s">
        <v>11</v>
      </c>
      <c r="F865" t="s">
        <v>14</v>
      </c>
      <c r="G865">
        <v>5458.0464499999998</v>
      </c>
    </row>
    <row r="866" spans="1:7" x14ac:dyDescent="0.25">
      <c r="A866">
        <v>51</v>
      </c>
      <c r="B866" t="s">
        <v>10</v>
      </c>
      <c r="C866">
        <v>25.4</v>
      </c>
      <c r="D866">
        <v>0</v>
      </c>
      <c r="E866" t="s">
        <v>11</v>
      </c>
      <c r="F866" t="s">
        <v>9</v>
      </c>
      <c r="G866">
        <v>8782.4689999999991</v>
      </c>
    </row>
    <row r="867" spans="1:7" x14ac:dyDescent="0.25">
      <c r="A867">
        <v>40</v>
      </c>
      <c r="B867" t="s">
        <v>10</v>
      </c>
      <c r="C867">
        <v>29.9</v>
      </c>
      <c r="D867">
        <v>2</v>
      </c>
      <c r="E867" t="s">
        <v>11</v>
      </c>
      <c r="F867" t="s">
        <v>9</v>
      </c>
      <c r="G867">
        <v>6600.3609999999999</v>
      </c>
    </row>
    <row r="868" spans="1:7" x14ac:dyDescent="0.25">
      <c r="A868">
        <v>18</v>
      </c>
      <c r="B868" t="s">
        <v>10</v>
      </c>
      <c r="C868">
        <v>37.29</v>
      </c>
      <c r="D868">
        <v>0</v>
      </c>
      <c r="E868" t="s">
        <v>11</v>
      </c>
      <c r="F868" t="s">
        <v>12</v>
      </c>
      <c r="G868">
        <v>1141.4450999999999</v>
      </c>
    </row>
    <row r="869" spans="1:7" x14ac:dyDescent="0.25">
      <c r="A869">
        <v>57</v>
      </c>
      <c r="B869" t="s">
        <v>10</v>
      </c>
      <c r="C869">
        <v>43.7</v>
      </c>
      <c r="D869">
        <v>1</v>
      </c>
      <c r="E869" t="s">
        <v>11</v>
      </c>
      <c r="F869" t="s">
        <v>9</v>
      </c>
      <c r="G869">
        <v>11576.13</v>
      </c>
    </row>
    <row r="870" spans="1:7" x14ac:dyDescent="0.25">
      <c r="A870">
        <v>61</v>
      </c>
      <c r="B870" t="s">
        <v>10</v>
      </c>
      <c r="C870">
        <v>23.655000000000001</v>
      </c>
      <c r="D870">
        <v>0</v>
      </c>
      <c r="E870" t="s">
        <v>11</v>
      </c>
      <c r="F870" t="s">
        <v>14</v>
      </c>
      <c r="G870">
        <v>13129.603450000001</v>
      </c>
    </row>
    <row r="871" spans="1:7" x14ac:dyDescent="0.25">
      <c r="A871">
        <v>25</v>
      </c>
      <c r="B871" t="s">
        <v>7</v>
      </c>
      <c r="C871">
        <v>24.3</v>
      </c>
      <c r="D871">
        <v>3</v>
      </c>
      <c r="E871" t="s">
        <v>11</v>
      </c>
      <c r="F871" t="s">
        <v>9</v>
      </c>
      <c r="G871">
        <v>4391.652</v>
      </c>
    </row>
    <row r="872" spans="1:7" x14ac:dyDescent="0.25">
      <c r="A872">
        <v>50</v>
      </c>
      <c r="B872" t="s">
        <v>10</v>
      </c>
      <c r="C872">
        <v>36.200000000000003</v>
      </c>
      <c r="D872">
        <v>0</v>
      </c>
      <c r="E872" t="s">
        <v>11</v>
      </c>
      <c r="F872" t="s">
        <v>9</v>
      </c>
      <c r="G872">
        <v>8457.8179999999993</v>
      </c>
    </row>
    <row r="873" spans="1:7" x14ac:dyDescent="0.25">
      <c r="A873">
        <v>26</v>
      </c>
      <c r="B873" t="s">
        <v>7</v>
      </c>
      <c r="C873">
        <v>29.48</v>
      </c>
      <c r="D873">
        <v>1</v>
      </c>
      <c r="E873" t="s">
        <v>11</v>
      </c>
      <c r="F873" t="s">
        <v>12</v>
      </c>
      <c r="G873">
        <v>3392.3652000000002</v>
      </c>
    </row>
    <row r="874" spans="1:7" x14ac:dyDescent="0.25">
      <c r="A874">
        <v>42</v>
      </c>
      <c r="B874" t="s">
        <v>10</v>
      </c>
      <c r="C874">
        <v>24.86</v>
      </c>
      <c r="D874">
        <v>0</v>
      </c>
      <c r="E874" t="s">
        <v>11</v>
      </c>
      <c r="F874" t="s">
        <v>12</v>
      </c>
      <c r="G874">
        <v>5966.8873999999996</v>
      </c>
    </row>
    <row r="875" spans="1:7" x14ac:dyDescent="0.25">
      <c r="A875">
        <v>43</v>
      </c>
      <c r="B875" t="s">
        <v>10</v>
      </c>
      <c r="C875">
        <v>30.1</v>
      </c>
      <c r="D875">
        <v>1</v>
      </c>
      <c r="E875" t="s">
        <v>11</v>
      </c>
      <c r="F875" t="s">
        <v>9</v>
      </c>
      <c r="G875">
        <v>6849.0259999999998</v>
      </c>
    </row>
    <row r="876" spans="1:7" x14ac:dyDescent="0.25">
      <c r="A876">
        <v>44</v>
      </c>
      <c r="B876" t="s">
        <v>10</v>
      </c>
      <c r="C876">
        <v>21.85</v>
      </c>
      <c r="D876">
        <v>3</v>
      </c>
      <c r="E876" t="s">
        <v>11</v>
      </c>
      <c r="F876" t="s">
        <v>14</v>
      </c>
      <c r="G876">
        <v>8891.1394999999993</v>
      </c>
    </row>
    <row r="877" spans="1:7" x14ac:dyDescent="0.25">
      <c r="A877">
        <v>23</v>
      </c>
      <c r="B877" t="s">
        <v>7</v>
      </c>
      <c r="C877">
        <v>28.12</v>
      </c>
      <c r="D877">
        <v>0</v>
      </c>
      <c r="E877" t="s">
        <v>11</v>
      </c>
      <c r="F877" t="s">
        <v>13</v>
      </c>
      <c r="G877">
        <v>2690.1138000000001</v>
      </c>
    </row>
    <row r="878" spans="1:7" x14ac:dyDescent="0.25">
      <c r="A878">
        <v>49</v>
      </c>
      <c r="B878" t="s">
        <v>7</v>
      </c>
      <c r="C878">
        <v>27.1</v>
      </c>
      <c r="D878">
        <v>1</v>
      </c>
      <c r="E878" t="s">
        <v>11</v>
      </c>
      <c r="F878" t="s">
        <v>9</v>
      </c>
      <c r="G878">
        <v>26140.3603</v>
      </c>
    </row>
    <row r="879" spans="1:7" x14ac:dyDescent="0.25">
      <c r="A879">
        <v>33</v>
      </c>
      <c r="B879" t="s">
        <v>10</v>
      </c>
      <c r="C879">
        <v>33.44</v>
      </c>
      <c r="D879">
        <v>5</v>
      </c>
      <c r="E879" t="s">
        <v>11</v>
      </c>
      <c r="F879" t="s">
        <v>12</v>
      </c>
      <c r="G879">
        <v>6653.7885999999999</v>
      </c>
    </row>
    <row r="880" spans="1:7" x14ac:dyDescent="0.25">
      <c r="A880">
        <v>41</v>
      </c>
      <c r="B880" t="s">
        <v>10</v>
      </c>
      <c r="C880">
        <v>28.8</v>
      </c>
      <c r="D880">
        <v>1</v>
      </c>
      <c r="E880" t="s">
        <v>11</v>
      </c>
      <c r="F880" t="s">
        <v>9</v>
      </c>
      <c r="G880">
        <v>6282.2349999999997</v>
      </c>
    </row>
    <row r="881" spans="1:7" x14ac:dyDescent="0.25">
      <c r="A881">
        <v>37</v>
      </c>
      <c r="B881" t="s">
        <v>7</v>
      </c>
      <c r="C881">
        <v>29.5</v>
      </c>
      <c r="D881">
        <v>2</v>
      </c>
      <c r="E881" t="s">
        <v>11</v>
      </c>
      <c r="F881" t="s">
        <v>9</v>
      </c>
      <c r="G881">
        <v>6311.9520000000002</v>
      </c>
    </row>
    <row r="882" spans="1:7" x14ac:dyDescent="0.25">
      <c r="A882">
        <v>22</v>
      </c>
      <c r="B882" t="s">
        <v>10</v>
      </c>
      <c r="C882">
        <v>34.799999999999997</v>
      </c>
      <c r="D882">
        <v>3</v>
      </c>
      <c r="E882" t="s">
        <v>11</v>
      </c>
      <c r="F882" t="s">
        <v>9</v>
      </c>
      <c r="G882">
        <v>3443.0639999999999</v>
      </c>
    </row>
    <row r="883" spans="1:7" x14ac:dyDescent="0.25">
      <c r="A883">
        <v>23</v>
      </c>
      <c r="B883" t="s">
        <v>10</v>
      </c>
      <c r="C883">
        <v>27.36</v>
      </c>
      <c r="D883">
        <v>1</v>
      </c>
      <c r="E883" t="s">
        <v>11</v>
      </c>
      <c r="F883" t="s">
        <v>13</v>
      </c>
      <c r="G883">
        <v>2789.0574000000001</v>
      </c>
    </row>
    <row r="884" spans="1:7" x14ac:dyDescent="0.25">
      <c r="A884">
        <v>21</v>
      </c>
      <c r="B884" t="s">
        <v>7</v>
      </c>
      <c r="C884">
        <v>22.135000000000002</v>
      </c>
      <c r="D884">
        <v>0</v>
      </c>
      <c r="E884" t="s">
        <v>11</v>
      </c>
      <c r="F884" t="s">
        <v>14</v>
      </c>
      <c r="G884">
        <v>2585.8506499999999</v>
      </c>
    </row>
    <row r="885" spans="1:7" x14ac:dyDescent="0.25">
      <c r="A885">
        <v>51</v>
      </c>
      <c r="B885" t="s">
        <v>7</v>
      </c>
      <c r="C885">
        <v>37.049999999999997</v>
      </c>
      <c r="D885">
        <v>3</v>
      </c>
      <c r="E885" t="s">
        <v>8</v>
      </c>
      <c r="F885" t="s">
        <v>14</v>
      </c>
      <c r="G885">
        <v>46255.112500000003</v>
      </c>
    </row>
    <row r="886" spans="1:7" x14ac:dyDescent="0.25">
      <c r="A886">
        <v>25</v>
      </c>
      <c r="B886" t="s">
        <v>10</v>
      </c>
      <c r="C886">
        <v>26.695</v>
      </c>
      <c r="D886">
        <v>4</v>
      </c>
      <c r="E886" t="s">
        <v>11</v>
      </c>
      <c r="F886" t="s">
        <v>13</v>
      </c>
      <c r="G886">
        <v>4877.9810500000003</v>
      </c>
    </row>
    <row r="887" spans="1:7" x14ac:dyDescent="0.25">
      <c r="A887">
        <v>32</v>
      </c>
      <c r="B887" t="s">
        <v>10</v>
      </c>
      <c r="C887">
        <v>28.93</v>
      </c>
      <c r="D887">
        <v>1</v>
      </c>
      <c r="E887" t="s">
        <v>8</v>
      </c>
      <c r="F887" t="s">
        <v>12</v>
      </c>
      <c r="G887">
        <v>19719.6947</v>
      </c>
    </row>
    <row r="888" spans="1:7" x14ac:dyDescent="0.25">
      <c r="A888">
        <v>57</v>
      </c>
      <c r="B888" t="s">
        <v>10</v>
      </c>
      <c r="C888">
        <v>28.975000000000001</v>
      </c>
      <c r="D888">
        <v>0</v>
      </c>
      <c r="E888" t="s">
        <v>8</v>
      </c>
      <c r="F888" t="s">
        <v>14</v>
      </c>
      <c r="G888">
        <v>27218.437249999999</v>
      </c>
    </row>
    <row r="889" spans="1:7" x14ac:dyDescent="0.25">
      <c r="A889">
        <v>36</v>
      </c>
      <c r="B889" t="s">
        <v>7</v>
      </c>
      <c r="C889">
        <v>30.02</v>
      </c>
      <c r="D889">
        <v>0</v>
      </c>
      <c r="E889" t="s">
        <v>11</v>
      </c>
      <c r="F889" t="s">
        <v>13</v>
      </c>
      <c r="G889">
        <v>5272.1758</v>
      </c>
    </row>
    <row r="890" spans="1:7" x14ac:dyDescent="0.25">
      <c r="A890">
        <v>22</v>
      </c>
      <c r="B890" t="s">
        <v>10</v>
      </c>
      <c r="C890">
        <v>39.5</v>
      </c>
      <c r="D890">
        <v>0</v>
      </c>
      <c r="E890" t="s">
        <v>11</v>
      </c>
      <c r="F890" t="s">
        <v>9</v>
      </c>
      <c r="G890">
        <v>1682.597</v>
      </c>
    </row>
    <row r="891" spans="1:7" x14ac:dyDescent="0.25">
      <c r="A891">
        <v>57</v>
      </c>
      <c r="B891" t="s">
        <v>10</v>
      </c>
      <c r="C891">
        <v>33.630000000000003</v>
      </c>
      <c r="D891">
        <v>1</v>
      </c>
      <c r="E891" t="s">
        <v>11</v>
      </c>
      <c r="F891" t="s">
        <v>13</v>
      </c>
      <c r="G891">
        <v>11945.1327</v>
      </c>
    </row>
    <row r="892" spans="1:7" x14ac:dyDescent="0.25">
      <c r="A892">
        <v>64</v>
      </c>
      <c r="B892" t="s">
        <v>7</v>
      </c>
      <c r="C892">
        <v>26.885000000000002</v>
      </c>
      <c r="D892">
        <v>0</v>
      </c>
      <c r="E892" t="s">
        <v>8</v>
      </c>
      <c r="F892" t="s">
        <v>13</v>
      </c>
      <c r="G892">
        <v>29330.98315</v>
      </c>
    </row>
    <row r="893" spans="1:7" x14ac:dyDescent="0.25">
      <c r="A893">
        <v>36</v>
      </c>
      <c r="B893" t="s">
        <v>7</v>
      </c>
      <c r="C893">
        <v>29.04</v>
      </c>
      <c r="D893">
        <v>4</v>
      </c>
      <c r="E893" t="s">
        <v>11</v>
      </c>
      <c r="F893" t="s">
        <v>12</v>
      </c>
      <c r="G893">
        <v>7243.8136000000004</v>
      </c>
    </row>
    <row r="894" spans="1:7" x14ac:dyDescent="0.25">
      <c r="A894">
        <v>54</v>
      </c>
      <c r="B894" t="s">
        <v>10</v>
      </c>
      <c r="C894">
        <v>24.035</v>
      </c>
      <c r="D894">
        <v>0</v>
      </c>
      <c r="E894" t="s">
        <v>11</v>
      </c>
      <c r="F894" t="s">
        <v>14</v>
      </c>
      <c r="G894">
        <v>10422.916649999999</v>
      </c>
    </row>
    <row r="895" spans="1:7" x14ac:dyDescent="0.25">
      <c r="A895">
        <v>47</v>
      </c>
      <c r="B895" t="s">
        <v>10</v>
      </c>
      <c r="C895">
        <v>38.94</v>
      </c>
      <c r="D895">
        <v>2</v>
      </c>
      <c r="E895" t="s">
        <v>8</v>
      </c>
      <c r="F895" t="s">
        <v>12</v>
      </c>
      <c r="G895">
        <v>44202.653599999998</v>
      </c>
    </row>
    <row r="896" spans="1:7" x14ac:dyDescent="0.25">
      <c r="A896">
        <v>62</v>
      </c>
      <c r="B896" t="s">
        <v>10</v>
      </c>
      <c r="C896">
        <v>32.11</v>
      </c>
      <c r="D896">
        <v>0</v>
      </c>
      <c r="E896" t="s">
        <v>11</v>
      </c>
      <c r="F896" t="s">
        <v>14</v>
      </c>
      <c r="G896">
        <v>13555.0049</v>
      </c>
    </row>
    <row r="897" spans="1:7" x14ac:dyDescent="0.25">
      <c r="A897">
        <v>61</v>
      </c>
      <c r="B897" t="s">
        <v>7</v>
      </c>
      <c r="C897">
        <v>44</v>
      </c>
      <c r="D897">
        <v>0</v>
      </c>
      <c r="E897" t="s">
        <v>11</v>
      </c>
      <c r="F897" t="s">
        <v>9</v>
      </c>
      <c r="G897">
        <v>13063.883</v>
      </c>
    </row>
    <row r="898" spans="1:7" x14ac:dyDescent="0.25">
      <c r="A898">
        <v>43</v>
      </c>
      <c r="B898" t="s">
        <v>7</v>
      </c>
      <c r="C898">
        <v>20.045000000000002</v>
      </c>
      <c r="D898">
        <v>2</v>
      </c>
      <c r="E898" t="s">
        <v>8</v>
      </c>
      <c r="F898" t="s">
        <v>14</v>
      </c>
      <c r="G898">
        <v>19798.054550000001</v>
      </c>
    </row>
    <row r="899" spans="1:7" x14ac:dyDescent="0.25">
      <c r="A899">
        <v>19</v>
      </c>
      <c r="B899" t="s">
        <v>10</v>
      </c>
      <c r="C899">
        <v>25.555</v>
      </c>
      <c r="D899">
        <v>1</v>
      </c>
      <c r="E899" t="s">
        <v>11</v>
      </c>
      <c r="F899" t="s">
        <v>13</v>
      </c>
      <c r="G899">
        <v>2221.5644499999999</v>
      </c>
    </row>
    <row r="900" spans="1:7" x14ac:dyDescent="0.25">
      <c r="A900">
        <v>18</v>
      </c>
      <c r="B900" t="s">
        <v>7</v>
      </c>
      <c r="C900">
        <v>40.26</v>
      </c>
      <c r="D900">
        <v>0</v>
      </c>
      <c r="E900" t="s">
        <v>11</v>
      </c>
      <c r="F900" t="s">
        <v>12</v>
      </c>
      <c r="G900">
        <v>1634.5734</v>
      </c>
    </row>
    <row r="901" spans="1:7" x14ac:dyDescent="0.25">
      <c r="A901">
        <v>19</v>
      </c>
      <c r="B901" t="s">
        <v>7</v>
      </c>
      <c r="C901">
        <v>22.515000000000001</v>
      </c>
      <c r="D901">
        <v>0</v>
      </c>
      <c r="E901" t="s">
        <v>11</v>
      </c>
      <c r="F901" t="s">
        <v>13</v>
      </c>
      <c r="G901">
        <v>2117.3388500000001</v>
      </c>
    </row>
    <row r="902" spans="1:7" x14ac:dyDescent="0.25">
      <c r="A902">
        <v>49</v>
      </c>
      <c r="B902" t="s">
        <v>10</v>
      </c>
      <c r="C902">
        <v>22.515000000000001</v>
      </c>
      <c r="D902">
        <v>0</v>
      </c>
      <c r="E902" t="s">
        <v>11</v>
      </c>
      <c r="F902" t="s">
        <v>14</v>
      </c>
      <c r="G902">
        <v>8688.8588500000005</v>
      </c>
    </row>
    <row r="903" spans="1:7" x14ac:dyDescent="0.25">
      <c r="A903">
        <v>60</v>
      </c>
      <c r="B903" t="s">
        <v>10</v>
      </c>
      <c r="C903">
        <v>40.92</v>
      </c>
      <c r="D903">
        <v>0</v>
      </c>
      <c r="E903" t="s">
        <v>8</v>
      </c>
      <c r="F903" t="s">
        <v>12</v>
      </c>
      <c r="G903">
        <v>48673.558799999999</v>
      </c>
    </row>
    <row r="904" spans="1:7" x14ac:dyDescent="0.25">
      <c r="A904">
        <v>26</v>
      </c>
      <c r="B904" t="s">
        <v>10</v>
      </c>
      <c r="C904">
        <v>27.265000000000001</v>
      </c>
      <c r="D904">
        <v>3</v>
      </c>
      <c r="E904" t="s">
        <v>11</v>
      </c>
      <c r="F904" t="s">
        <v>14</v>
      </c>
      <c r="G904">
        <v>4661.2863500000003</v>
      </c>
    </row>
    <row r="905" spans="1:7" x14ac:dyDescent="0.25">
      <c r="A905">
        <v>49</v>
      </c>
      <c r="B905" t="s">
        <v>10</v>
      </c>
      <c r="C905">
        <v>36.85</v>
      </c>
      <c r="D905">
        <v>0</v>
      </c>
      <c r="E905" t="s">
        <v>11</v>
      </c>
      <c r="F905" t="s">
        <v>12</v>
      </c>
      <c r="G905">
        <v>8125.7844999999998</v>
      </c>
    </row>
    <row r="906" spans="1:7" x14ac:dyDescent="0.25">
      <c r="A906">
        <v>60</v>
      </c>
      <c r="B906" t="s">
        <v>7</v>
      </c>
      <c r="C906">
        <v>35.1</v>
      </c>
      <c r="D906">
        <v>0</v>
      </c>
      <c r="E906" t="s">
        <v>11</v>
      </c>
      <c r="F906" t="s">
        <v>9</v>
      </c>
      <c r="G906">
        <v>12644.589</v>
      </c>
    </row>
    <row r="907" spans="1:7" x14ac:dyDescent="0.25">
      <c r="A907">
        <v>26</v>
      </c>
      <c r="B907" t="s">
        <v>7</v>
      </c>
      <c r="C907">
        <v>29.355</v>
      </c>
      <c r="D907">
        <v>2</v>
      </c>
      <c r="E907" t="s">
        <v>11</v>
      </c>
      <c r="F907" t="s">
        <v>14</v>
      </c>
      <c r="G907">
        <v>4564.1914500000003</v>
      </c>
    </row>
    <row r="908" spans="1:7" x14ac:dyDescent="0.25">
      <c r="A908">
        <v>27</v>
      </c>
      <c r="B908" t="s">
        <v>10</v>
      </c>
      <c r="C908">
        <v>32.585000000000001</v>
      </c>
      <c r="D908">
        <v>3</v>
      </c>
      <c r="E908" t="s">
        <v>11</v>
      </c>
      <c r="F908" t="s">
        <v>14</v>
      </c>
      <c r="G908">
        <v>4846.9201499999999</v>
      </c>
    </row>
    <row r="909" spans="1:7" x14ac:dyDescent="0.25">
      <c r="A909">
        <v>44</v>
      </c>
      <c r="B909" t="s">
        <v>7</v>
      </c>
      <c r="C909">
        <v>32.340000000000003</v>
      </c>
      <c r="D909">
        <v>1</v>
      </c>
      <c r="E909" t="s">
        <v>11</v>
      </c>
      <c r="F909" t="s">
        <v>12</v>
      </c>
      <c r="G909">
        <v>7633.7205999999996</v>
      </c>
    </row>
    <row r="910" spans="1:7" x14ac:dyDescent="0.25">
      <c r="A910">
        <v>63</v>
      </c>
      <c r="B910" t="s">
        <v>10</v>
      </c>
      <c r="C910">
        <v>39.799999999999997</v>
      </c>
      <c r="D910">
        <v>3</v>
      </c>
      <c r="E910" t="s">
        <v>11</v>
      </c>
      <c r="F910" t="s">
        <v>9</v>
      </c>
      <c r="G910">
        <v>15170.069</v>
      </c>
    </row>
    <row r="911" spans="1:7" x14ac:dyDescent="0.25">
      <c r="A911">
        <v>32</v>
      </c>
      <c r="B911" t="s">
        <v>7</v>
      </c>
      <c r="C911">
        <v>24.6</v>
      </c>
      <c r="D911">
        <v>0</v>
      </c>
      <c r="E911" t="s">
        <v>8</v>
      </c>
      <c r="F911" t="s">
        <v>9</v>
      </c>
      <c r="G911">
        <v>17496.306</v>
      </c>
    </row>
    <row r="912" spans="1:7" x14ac:dyDescent="0.25">
      <c r="A912">
        <v>22</v>
      </c>
      <c r="B912" t="s">
        <v>10</v>
      </c>
      <c r="C912">
        <v>28.31</v>
      </c>
      <c r="D912">
        <v>1</v>
      </c>
      <c r="E912" t="s">
        <v>11</v>
      </c>
      <c r="F912" t="s">
        <v>13</v>
      </c>
      <c r="G912">
        <v>2639.0428999999999</v>
      </c>
    </row>
    <row r="913" spans="1:7" x14ac:dyDescent="0.25">
      <c r="A913">
        <v>18</v>
      </c>
      <c r="B913" t="s">
        <v>10</v>
      </c>
      <c r="C913">
        <v>31.73</v>
      </c>
      <c r="D913">
        <v>0</v>
      </c>
      <c r="E913" t="s">
        <v>8</v>
      </c>
      <c r="F913" t="s">
        <v>14</v>
      </c>
      <c r="G913">
        <v>33732.686699999998</v>
      </c>
    </row>
    <row r="914" spans="1:7" x14ac:dyDescent="0.25">
      <c r="A914">
        <v>59</v>
      </c>
      <c r="B914" t="s">
        <v>7</v>
      </c>
      <c r="C914">
        <v>26.695</v>
      </c>
      <c r="D914">
        <v>3</v>
      </c>
      <c r="E914" t="s">
        <v>11</v>
      </c>
      <c r="F914" t="s">
        <v>13</v>
      </c>
      <c r="G914">
        <v>14382.709049999999</v>
      </c>
    </row>
    <row r="915" spans="1:7" x14ac:dyDescent="0.25">
      <c r="A915">
        <v>44</v>
      </c>
      <c r="B915" t="s">
        <v>7</v>
      </c>
      <c r="C915">
        <v>27.5</v>
      </c>
      <c r="D915">
        <v>1</v>
      </c>
      <c r="E915" t="s">
        <v>11</v>
      </c>
      <c r="F915" t="s">
        <v>9</v>
      </c>
      <c r="G915">
        <v>7626.9930000000004</v>
      </c>
    </row>
    <row r="916" spans="1:7" x14ac:dyDescent="0.25">
      <c r="A916">
        <v>33</v>
      </c>
      <c r="B916" t="s">
        <v>10</v>
      </c>
      <c r="C916">
        <v>24.605</v>
      </c>
      <c r="D916">
        <v>2</v>
      </c>
      <c r="E916" t="s">
        <v>11</v>
      </c>
      <c r="F916" t="s">
        <v>13</v>
      </c>
      <c r="G916">
        <v>5257.5079500000002</v>
      </c>
    </row>
    <row r="917" spans="1:7" x14ac:dyDescent="0.25">
      <c r="A917">
        <v>24</v>
      </c>
      <c r="B917" t="s">
        <v>7</v>
      </c>
      <c r="C917">
        <v>33.99</v>
      </c>
      <c r="D917">
        <v>0</v>
      </c>
      <c r="E917" t="s">
        <v>11</v>
      </c>
      <c r="F917" t="s">
        <v>12</v>
      </c>
      <c r="G917">
        <v>2473.3341</v>
      </c>
    </row>
    <row r="918" spans="1:7" x14ac:dyDescent="0.25">
      <c r="A918">
        <v>43</v>
      </c>
      <c r="B918" t="s">
        <v>7</v>
      </c>
      <c r="C918">
        <v>26.885000000000002</v>
      </c>
      <c r="D918">
        <v>0</v>
      </c>
      <c r="E918" t="s">
        <v>8</v>
      </c>
      <c r="F918" t="s">
        <v>13</v>
      </c>
      <c r="G918">
        <v>21774.32215</v>
      </c>
    </row>
    <row r="919" spans="1:7" x14ac:dyDescent="0.25">
      <c r="A919">
        <v>45</v>
      </c>
      <c r="B919" t="s">
        <v>10</v>
      </c>
      <c r="C919">
        <v>22.895</v>
      </c>
      <c r="D919">
        <v>0</v>
      </c>
      <c r="E919" t="s">
        <v>8</v>
      </c>
      <c r="F919" t="s">
        <v>14</v>
      </c>
      <c r="G919">
        <v>35069.374519999998</v>
      </c>
    </row>
    <row r="920" spans="1:7" x14ac:dyDescent="0.25">
      <c r="A920">
        <v>61</v>
      </c>
      <c r="B920" t="s">
        <v>7</v>
      </c>
      <c r="C920">
        <v>28.2</v>
      </c>
      <c r="D920">
        <v>0</v>
      </c>
      <c r="E920" t="s">
        <v>11</v>
      </c>
      <c r="F920" t="s">
        <v>9</v>
      </c>
      <c r="G920">
        <v>13041.921</v>
      </c>
    </row>
    <row r="921" spans="1:7" x14ac:dyDescent="0.25">
      <c r="A921">
        <v>35</v>
      </c>
      <c r="B921" t="s">
        <v>7</v>
      </c>
      <c r="C921">
        <v>34.21</v>
      </c>
      <c r="D921">
        <v>1</v>
      </c>
      <c r="E921" t="s">
        <v>11</v>
      </c>
      <c r="F921" t="s">
        <v>12</v>
      </c>
      <c r="G921">
        <v>5245.2268999999997</v>
      </c>
    </row>
    <row r="922" spans="1:7" x14ac:dyDescent="0.25">
      <c r="A922">
        <v>62</v>
      </c>
      <c r="B922" t="s">
        <v>7</v>
      </c>
      <c r="C922">
        <v>25</v>
      </c>
      <c r="D922">
        <v>0</v>
      </c>
      <c r="E922" t="s">
        <v>11</v>
      </c>
      <c r="F922" t="s">
        <v>9</v>
      </c>
      <c r="G922">
        <v>13451.121999999999</v>
      </c>
    </row>
    <row r="923" spans="1:7" x14ac:dyDescent="0.25">
      <c r="A923">
        <v>62</v>
      </c>
      <c r="B923" t="s">
        <v>7</v>
      </c>
      <c r="C923">
        <v>33.200000000000003</v>
      </c>
      <c r="D923">
        <v>0</v>
      </c>
      <c r="E923" t="s">
        <v>11</v>
      </c>
      <c r="F923" t="s">
        <v>9</v>
      </c>
      <c r="G923">
        <v>13462.52</v>
      </c>
    </row>
    <row r="924" spans="1:7" x14ac:dyDescent="0.25">
      <c r="A924">
        <v>38</v>
      </c>
      <c r="B924" t="s">
        <v>10</v>
      </c>
      <c r="C924">
        <v>31</v>
      </c>
      <c r="D924">
        <v>1</v>
      </c>
      <c r="E924" t="s">
        <v>11</v>
      </c>
      <c r="F924" t="s">
        <v>9</v>
      </c>
      <c r="G924">
        <v>5488.2619999999997</v>
      </c>
    </row>
    <row r="925" spans="1:7" x14ac:dyDescent="0.25">
      <c r="A925">
        <v>34</v>
      </c>
      <c r="B925" t="s">
        <v>10</v>
      </c>
      <c r="C925">
        <v>35.814999999999998</v>
      </c>
      <c r="D925">
        <v>0</v>
      </c>
      <c r="E925" t="s">
        <v>11</v>
      </c>
      <c r="F925" t="s">
        <v>13</v>
      </c>
      <c r="G925">
        <v>4320.4108500000002</v>
      </c>
    </row>
    <row r="926" spans="1:7" x14ac:dyDescent="0.25">
      <c r="A926">
        <v>43</v>
      </c>
      <c r="B926" t="s">
        <v>10</v>
      </c>
      <c r="C926">
        <v>23.2</v>
      </c>
      <c r="D926">
        <v>0</v>
      </c>
      <c r="E926" t="s">
        <v>11</v>
      </c>
      <c r="F926" t="s">
        <v>9</v>
      </c>
      <c r="G926">
        <v>6250.4350000000004</v>
      </c>
    </row>
    <row r="927" spans="1:7" x14ac:dyDescent="0.25">
      <c r="A927">
        <v>50</v>
      </c>
      <c r="B927" t="s">
        <v>10</v>
      </c>
      <c r="C927">
        <v>32.11</v>
      </c>
      <c r="D927">
        <v>2</v>
      </c>
      <c r="E927" t="s">
        <v>11</v>
      </c>
      <c r="F927" t="s">
        <v>14</v>
      </c>
      <c r="G927">
        <v>25333.332839999999</v>
      </c>
    </row>
    <row r="928" spans="1:7" x14ac:dyDescent="0.25">
      <c r="A928">
        <v>19</v>
      </c>
      <c r="B928" t="s">
        <v>7</v>
      </c>
      <c r="C928">
        <v>23.4</v>
      </c>
      <c r="D928">
        <v>2</v>
      </c>
      <c r="E928" t="s">
        <v>11</v>
      </c>
      <c r="F928" t="s">
        <v>9</v>
      </c>
      <c r="G928">
        <v>2913.569</v>
      </c>
    </row>
    <row r="929" spans="1:7" x14ac:dyDescent="0.25">
      <c r="A929">
        <v>57</v>
      </c>
      <c r="B929" t="s">
        <v>7</v>
      </c>
      <c r="C929">
        <v>20.100000000000001</v>
      </c>
      <c r="D929">
        <v>1</v>
      </c>
      <c r="E929" t="s">
        <v>11</v>
      </c>
      <c r="F929" t="s">
        <v>9</v>
      </c>
      <c r="G929">
        <v>12032.325999999999</v>
      </c>
    </row>
    <row r="930" spans="1:7" x14ac:dyDescent="0.25">
      <c r="A930">
        <v>62</v>
      </c>
      <c r="B930" t="s">
        <v>7</v>
      </c>
      <c r="C930">
        <v>39.159999999999997</v>
      </c>
      <c r="D930">
        <v>0</v>
      </c>
      <c r="E930" t="s">
        <v>11</v>
      </c>
      <c r="F930" t="s">
        <v>12</v>
      </c>
      <c r="G930">
        <v>13470.804400000001</v>
      </c>
    </row>
    <row r="931" spans="1:7" x14ac:dyDescent="0.25">
      <c r="A931">
        <v>41</v>
      </c>
      <c r="B931" t="s">
        <v>10</v>
      </c>
      <c r="C931">
        <v>34.21</v>
      </c>
      <c r="D931">
        <v>1</v>
      </c>
      <c r="E931" t="s">
        <v>11</v>
      </c>
      <c r="F931" t="s">
        <v>12</v>
      </c>
      <c r="G931">
        <v>6289.7548999999999</v>
      </c>
    </row>
    <row r="932" spans="1:7" x14ac:dyDescent="0.25">
      <c r="A932">
        <v>26</v>
      </c>
      <c r="B932" t="s">
        <v>10</v>
      </c>
      <c r="C932">
        <v>46.53</v>
      </c>
      <c r="D932">
        <v>1</v>
      </c>
      <c r="E932" t="s">
        <v>11</v>
      </c>
      <c r="F932" t="s">
        <v>12</v>
      </c>
      <c r="G932">
        <v>2927.0646999999999</v>
      </c>
    </row>
    <row r="933" spans="1:7" x14ac:dyDescent="0.25">
      <c r="A933">
        <v>39</v>
      </c>
      <c r="B933" t="s">
        <v>7</v>
      </c>
      <c r="C933">
        <v>32.5</v>
      </c>
      <c r="D933">
        <v>1</v>
      </c>
      <c r="E933" t="s">
        <v>11</v>
      </c>
      <c r="F933" t="s">
        <v>9</v>
      </c>
      <c r="G933">
        <v>6238.2979999999998</v>
      </c>
    </row>
    <row r="934" spans="1:7" x14ac:dyDescent="0.25">
      <c r="A934">
        <v>46</v>
      </c>
      <c r="B934" t="s">
        <v>10</v>
      </c>
      <c r="C934">
        <v>25.8</v>
      </c>
      <c r="D934">
        <v>5</v>
      </c>
      <c r="E934" t="s">
        <v>11</v>
      </c>
      <c r="F934" t="s">
        <v>9</v>
      </c>
      <c r="G934">
        <v>10096.969999999999</v>
      </c>
    </row>
    <row r="935" spans="1:7" x14ac:dyDescent="0.25">
      <c r="A935">
        <v>45</v>
      </c>
      <c r="B935" t="s">
        <v>7</v>
      </c>
      <c r="C935">
        <v>35.299999999999997</v>
      </c>
      <c r="D935">
        <v>0</v>
      </c>
      <c r="E935" t="s">
        <v>11</v>
      </c>
      <c r="F935" t="s">
        <v>9</v>
      </c>
      <c r="G935">
        <v>7348.1419999999998</v>
      </c>
    </row>
    <row r="936" spans="1:7" x14ac:dyDescent="0.25">
      <c r="A936">
        <v>32</v>
      </c>
      <c r="B936" t="s">
        <v>10</v>
      </c>
      <c r="C936">
        <v>37.18</v>
      </c>
      <c r="D936">
        <v>2</v>
      </c>
      <c r="E936" t="s">
        <v>11</v>
      </c>
      <c r="F936" t="s">
        <v>12</v>
      </c>
      <c r="G936">
        <v>4673.3922000000002</v>
      </c>
    </row>
    <row r="937" spans="1:7" x14ac:dyDescent="0.25">
      <c r="A937">
        <v>59</v>
      </c>
      <c r="B937" t="s">
        <v>7</v>
      </c>
      <c r="C937">
        <v>27.5</v>
      </c>
      <c r="D937">
        <v>0</v>
      </c>
      <c r="E937" t="s">
        <v>11</v>
      </c>
      <c r="F937" t="s">
        <v>9</v>
      </c>
      <c r="G937">
        <v>12233.828</v>
      </c>
    </row>
    <row r="938" spans="1:7" x14ac:dyDescent="0.25">
      <c r="A938">
        <v>44</v>
      </c>
      <c r="B938" t="s">
        <v>10</v>
      </c>
      <c r="C938">
        <v>29.734999999999999</v>
      </c>
      <c r="D938">
        <v>2</v>
      </c>
      <c r="E938" t="s">
        <v>11</v>
      </c>
      <c r="F938" t="s">
        <v>14</v>
      </c>
      <c r="G938">
        <v>32108.662820000001</v>
      </c>
    </row>
    <row r="939" spans="1:7" x14ac:dyDescent="0.25">
      <c r="A939">
        <v>39</v>
      </c>
      <c r="B939" t="s">
        <v>7</v>
      </c>
      <c r="C939">
        <v>24.225000000000001</v>
      </c>
      <c r="D939">
        <v>5</v>
      </c>
      <c r="E939" t="s">
        <v>11</v>
      </c>
      <c r="F939" t="s">
        <v>13</v>
      </c>
      <c r="G939">
        <v>8965.7957499999993</v>
      </c>
    </row>
    <row r="940" spans="1:7" x14ac:dyDescent="0.25">
      <c r="A940">
        <v>18</v>
      </c>
      <c r="B940" t="s">
        <v>10</v>
      </c>
      <c r="C940">
        <v>26.18</v>
      </c>
      <c r="D940">
        <v>2</v>
      </c>
      <c r="E940" t="s">
        <v>11</v>
      </c>
      <c r="F940" t="s">
        <v>12</v>
      </c>
      <c r="G940">
        <v>2304.0021999999999</v>
      </c>
    </row>
    <row r="941" spans="1:7" x14ac:dyDescent="0.25">
      <c r="A941">
        <v>53</v>
      </c>
      <c r="B941" t="s">
        <v>10</v>
      </c>
      <c r="C941">
        <v>29.48</v>
      </c>
      <c r="D941">
        <v>0</v>
      </c>
      <c r="E941" t="s">
        <v>11</v>
      </c>
      <c r="F941" t="s">
        <v>12</v>
      </c>
      <c r="G941">
        <v>9487.6442000000006</v>
      </c>
    </row>
    <row r="942" spans="1:7" x14ac:dyDescent="0.25">
      <c r="A942">
        <v>18</v>
      </c>
      <c r="B942" t="s">
        <v>10</v>
      </c>
      <c r="C942">
        <v>23.21</v>
      </c>
      <c r="D942">
        <v>0</v>
      </c>
      <c r="E942" t="s">
        <v>11</v>
      </c>
      <c r="F942" t="s">
        <v>12</v>
      </c>
      <c r="G942">
        <v>1121.8739</v>
      </c>
    </row>
    <row r="943" spans="1:7" x14ac:dyDescent="0.25">
      <c r="A943">
        <v>50</v>
      </c>
      <c r="B943" t="s">
        <v>7</v>
      </c>
      <c r="C943">
        <v>46.09</v>
      </c>
      <c r="D943">
        <v>1</v>
      </c>
      <c r="E943" t="s">
        <v>11</v>
      </c>
      <c r="F943" t="s">
        <v>12</v>
      </c>
      <c r="G943">
        <v>9549.5650999999998</v>
      </c>
    </row>
    <row r="944" spans="1:7" x14ac:dyDescent="0.25">
      <c r="A944">
        <v>18</v>
      </c>
      <c r="B944" t="s">
        <v>7</v>
      </c>
      <c r="C944">
        <v>40.185000000000002</v>
      </c>
      <c r="D944">
        <v>0</v>
      </c>
      <c r="E944" t="s">
        <v>11</v>
      </c>
      <c r="F944" t="s">
        <v>14</v>
      </c>
      <c r="G944">
        <v>2217.4691499999999</v>
      </c>
    </row>
    <row r="945" spans="1:7" x14ac:dyDescent="0.25">
      <c r="A945">
        <v>19</v>
      </c>
      <c r="B945" t="s">
        <v>10</v>
      </c>
      <c r="C945">
        <v>22.61</v>
      </c>
      <c r="D945">
        <v>0</v>
      </c>
      <c r="E945" t="s">
        <v>11</v>
      </c>
      <c r="F945" t="s">
        <v>13</v>
      </c>
      <c r="G945">
        <v>1628.4709</v>
      </c>
    </row>
    <row r="946" spans="1:7" x14ac:dyDescent="0.25">
      <c r="A946">
        <v>62</v>
      </c>
      <c r="B946" t="s">
        <v>10</v>
      </c>
      <c r="C946">
        <v>39.93</v>
      </c>
      <c r="D946">
        <v>0</v>
      </c>
      <c r="E946" t="s">
        <v>11</v>
      </c>
      <c r="F946" t="s">
        <v>12</v>
      </c>
      <c r="G946">
        <v>12982.8747</v>
      </c>
    </row>
    <row r="947" spans="1:7" x14ac:dyDescent="0.25">
      <c r="A947">
        <v>56</v>
      </c>
      <c r="B947" t="s">
        <v>7</v>
      </c>
      <c r="C947">
        <v>35.799999999999997</v>
      </c>
      <c r="D947">
        <v>1</v>
      </c>
      <c r="E947" t="s">
        <v>11</v>
      </c>
      <c r="F947" t="s">
        <v>9</v>
      </c>
      <c r="G947">
        <v>11674.13</v>
      </c>
    </row>
    <row r="948" spans="1:7" x14ac:dyDescent="0.25">
      <c r="A948">
        <v>42</v>
      </c>
      <c r="B948" t="s">
        <v>10</v>
      </c>
      <c r="C948">
        <v>35.799999999999997</v>
      </c>
      <c r="D948">
        <v>2</v>
      </c>
      <c r="E948" t="s">
        <v>11</v>
      </c>
      <c r="F948" t="s">
        <v>9</v>
      </c>
      <c r="G948">
        <v>7160.0940000000001</v>
      </c>
    </row>
    <row r="949" spans="1:7" x14ac:dyDescent="0.25">
      <c r="A949">
        <v>37</v>
      </c>
      <c r="B949" t="s">
        <v>10</v>
      </c>
      <c r="C949">
        <v>34.200000000000003</v>
      </c>
      <c r="D949">
        <v>1</v>
      </c>
      <c r="E949" t="s">
        <v>8</v>
      </c>
      <c r="F949" t="s">
        <v>14</v>
      </c>
      <c r="G949">
        <v>39047.285000000003</v>
      </c>
    </row>
    <row r="950" spans="1:7" x14ac:dyDescent="0.25">
      <c r="A950">
        <v>42</v>
      </c>
      <c r="B950" t="s">
        <v>10</v>
      </c>
      <c r="C950">
        <v>31.254999999999999</v>
      </c>
      <c r="D950">
        <v>0</v>
      </c>
      <c r="E950" t="s">
        <v>11</v>
      </c>
      <c r="F950" t="s">
        <v>13</v>
      </c>
      <c r="G950">
        <v>6358.7764500000003</v>
      </c>
    </row>
    <row r="951" spans="1:7" x14ac:dyDescent="0.25">
      <c r="A951">
        <v>25</v>
      </c>
      <c r="B951" t="s">
        <v>10</v>
      </c>
      <c r="C951">
        <v>29.7</v>
      </c>
      <c r="D951">
        <v>3</v>
      </c>
      <c r="E951" t="s">
        <v>8</v>
      </c>
      <c r="F951" t="s">
        <v>9</v>
      </c>
      <c r="G951">
        <v>19933.457999999999</v>
      </c>
    </row>
    <row r="952" spans="1:7" x14ac:dyDescent="0.25">
      <c r="A952">
        <v>57</v>
      </c>
      <c r="B952" t="s">
        <v>10</v>
      </c>
      <c r="C952">
        <v>18.335000000000001</v>
      </c>
      <c r="D952">
        <v>0</v>
      </c>
      <c r="E952" t="s">
        <v>11</v>
      </c>
      <c r="F952" t="s">
        <v>14</v>
      </c>
      <c r="G952">
        <v>11534.872649999999</v>
      </c>
    </row>
    <row r="953" spans="1:7" x14ac:dyDescent="0.25">
      <c r="A953">
        <v>51</v>
      </c>
      <c r="B953" t="s">
        <v>10</v>
      </c>
      <c r="C953">
        <v>42.9</v>
      </c>
      <c r="D953">
        <v>2</v>
      </c>
      <c r="E953" t="s">
        <v>8</v>
      </c>
      <c r="F953" t="s">
        <v>12</v>
      </c>
      <c r="G953">
        <v>47462.894</v>
      </c>
    </row>
    <row r="954" spans="1:7" x14ac:dyDescent="0.25">
      <c r="A954">
        <v>30</v>
      </c>
      <c r="B954" t="s">
        <v>7</v>
      </c>
      <c r="C954">
        <v>28.405000000000001</v>
      </c>
      <c r="D954">
        <v>1</v>
      </c>
      <c r="E954" t="s">
        <v>11</v>
      </c>
      <c r="F954" t="s">
        <v>13</v>
      </c>
      <c r="G954">
        <v>4527.1829500000003</v>
      </c>
    </row>
    <row r="955" spans="1:7" x14ac:dyDescent="0.25">
      <c r="A955">
        <v>44</v>
      </c>
      <c r="B955" t="s">
        <v>10</v>
      </c>
      <c r="C955">
        <v>30.2</v>
      </c>
      <c r="D955">
        <v>2</v>
      </c>
      <c r="E955" t="s">
        <v>8</v>
      </c>
      <c r="F955" t="s">
        <v>9</v>
      </c>
      <c r="G955">
        <v>38998.546000000002</v>
      </c>
    </row>
    <row r="956" spans="1:7" x14ac:dyDescent="0.25">
      <c r="A956">
        <v>34</v>
      </c>
      <c r="B956" t="s">
        <v>10</v>
      </c>
      <c r="C956">
        <v>27.835000000000001</v>
      </c>
      <c r="D956">
        <v>1</v>
      </c>
      <c r="E956" t="s">
        <v>8</v>
      </c>
      <c r="F956" t="s">
        <v>13</v>
      </c>
      <c r="G956">
        <v>20009.63365</v>
      </c>
    </row>
    <row r="957" spans="1:7" x14ac:dyDescent="0.25">
      <c r="A957">
        <v>31</v>
      </c>
      <c r="B957" t="s">
        <v>10</v>
      </c>
      <c r="C957">
        <v>39.49</v>
      </c>
      <c r="D957">
        <v>1</v>
      </c>
      <c r="E957" t="s">
        <v>11</v>
      </c>
      <c r="F957" t="s">
        <v>12</v>
      </c>
      <c r="G957">
        <v>3875.7341000000001</v>
      </c>
    </row>
    <row r="958" spans="1:7" x14ac:dyDescent="0.25">
      <c r="A958">
        <v>54</v>
      </c>
      <c r="B958" t="s">
        <v>10</v>
      </c>
      <c r="C958">
        <v>30.8</v>
      </c>
      <c r="D958">
        <v>1</v>
      </c>
      <c r="E958" t="s">
        <v>8</v>
      </c>
      <c r="F958" t="s">
        <v>12</v>
      </c>
      <c r="G958">
        <v>41999.519999999997</v>
      </c>
    </row>
    <row r="959" spans="1:7" x14ac:dyDescent="0.25">
      <c r="A959">
        <v>24</v>
      </c>
      <c r="B959" t="s">
        <v>10</v>
      </c>
      <c r="C959">
        <v>26.79</v>
      </c>
      <c r="D959">
        <v>1</v>
      </c>
      <c r="E959" t="s">
        <v>11</v>
      </c>
      <c r="F959" t="s">
        <v>13</v>
      </c>
      <c r="G959">
        <v>12609.88702</v>
      </c>
    </row>
    <row r="960" spans="1:7" x14ac:dyDescent="0.25">
      <c r="A960">
        <v>43</v>
      </c>
      <c r="B960" t="s">
        <v>10</v>
      </c>
      <c r="C960">
        <v>34.96</v>
      </c>
      <c r="D960">
        <v>1</v>
      </c>
      <c r="E960" t="s">
        <v>8</v>
      </c>
      <c r="F960" t="s">
        <v>14</v>
      </c>
      <c r="G960">
        <v>41034.221400000002</v>
      </c>
    </row>
    <row r="961" spans="1:7" x14ac:dyDescent="0.25">
      <c r="A961">
        <v>48</v>
      </c>
      <c r="B961" t="s">
        <v>10</v>
      </c>
      <c r="C961">
        <v>36.67</v>
      </c>
      <c r="D961">
        <v>1</v>
      </c>
      <c r="E961" t="s">
        <v>11</v>
      </c>
      <c r="F961" t="s">
        <v>13</v>
      </c>
      <c r="G961">
        <v>28468.919010000001</v>
      </c>
    </row>
    <row r="962" spans="1:7" x14ac:dyDescent="0.25">
      <c r="A962">
        <v>19</v>
      </c>
      <c r="B962" t="s">
        <v>7</v>
      </c>
      <c r="C962">
        <v>39.615000000000002</v>
      </c>
      <c r="D962">
        <v>1</v>
      </c>
      <c r="E962" t="s">
        <v>11</v>
      </c>
      <c r="F962" t="s">
        <v>13</v>
      </c>
      <c r="G962">
        <v>2730.1078499999999</v>
      </c>
    </row>
    <row r="963" spans="1:7" x14ac:dyDescent="0.25">
      <c r="A963">
        <v>29</v>
      </c>
      <c r="B963" t="s">
        <v>7</v>
      </c>
      <c r="C963">
        <v>25.9</v>
      </c>
      <c r="D963">
        <v>0</v>
      </c>
      <c r="E963" t="s">
        <v>11</v>
      </c>
      <c r="F963" t="s">
        <v>9</v>
      </c>
      <c r="G963">
        <v>3353.2840000000001</v>
      </c>
    </row>
    <row r="964" spans="1:7" x14ac:dyDescent="0.25">
      <c r="A964">
        <v>63</v>
      </c>
      <c r="B964" t="s">
        <v>7</v>
      </c>
      <c r="C964">
        <v>35.200000000000003</v>
      </c>
      <c r="D964">
        <v>1</v>
      </c>
      <c r="E964" t="s">
        <v>11</v>
      </c>
      <c r="F964" t="s">
        <v>12</v>
      </c>
      <c r="G964">
        <v>14474.674999999999</v>
      </c>
    </row>
    <row r="965" spans="1:7" x14ac:dyDescent="0.25">
      <c r="A965">
        <v>46</v>
      </c>
      <c r="B965" t="s">
        <v>10</v>
      </c>
      <c r="C965">
        <v>24.795000000000002</v>
      </c>
      <c r="D965">
        <v>3</v>
      </c>
      <c r="E965" t="s">
        <v>11</v>
      </c>
      <c r="F965" t="s">
        <v>14</v>
      </c>
      <c r="G965">
        <v>9500.5730500000009</v>
      </c>
    </row>
    <row r="966" spans="1:7" x14ac:dyDescent="0.25">
      <c r="A966">
        <v>52</v>
      </c>
      <c r="B966" t="s">
        <v>10</v>
      </c>
      <c r="C966">
        <v>36.765000000000001</v>
      </c>
      <c r="D966">
        <v>2</v>
      </c>
      <c r="E966" t="s">
        <v>11</v>
      </c>
      <c r="F966" t="s">
        <v>13</v>
      </c>
      <c r="G966">
        <v>26467.09737</v>
      </c>
    </row>
    <row r="967" spans="1:7" x14ac:dyDescent="0.25">
      <c r="A967">
        <v>35</v>
      </c>
      <c r="B967" t="s">
        <v>10</v>
      </c>
      <c r="C967">
        <v>27.1</v>
      </c>
      <c r="D967">
        <v>1</v>
      </c>
      <c r="E967" t="s">
        <v>11</v>
      </c>
      <c r="F967" t="s">
        <v>9</v>
      </c>
      <c r="G967">
        <v>4746.3440000000001</v>
      </c>
    </row>
    <row r="968" spans="1:7" x14ac:dyDescent="0.25">
      <c r="A968">
        <v>51</v>
      </c>
      <c r="B968" t="s">
        <v>10</v>
      </c>
      <c r="C968">
        <v>24.795000000000002</v>
      </c>
      <c r="D968">
        <v>2</v>
      </c>
      <c r="E968" t="s">
        <v>8</v>
      </c>
      <c r="F968" t="s">
        <v>13</v>
      </c>
      <c r="G968">
        <v>23967.38305</v>
      </c>
    </row>
    <row r="969" spans="1:7" x14ac:dyDescent="0.25">
      <c r="A969">
        <v>44</v>
      </c>
      <c r="B969" t="s">
        <v>10</v>
      </c>
      <c r="C969">
        <v>25.364999999999998</v>
      </c>
      <c r="D969">
        <v>1</v>
      </c>
      <c r="E969" t="s">
        <v>11</v>
      </c>
      <c r="F969" t="s">
        <v>13</v>
      </c>
      <c r="G969">
        <v>7518.0253499999999</v>
      </c>
    </row>
    <row r="970" spans="1:7" x14ac:dyDescent="0.25">
      <c r="A970">
        <v>21</v>
      </c>
      <c r="B970" t="s">
        <v>10</v>
      </c>
      <c r="C970">
        <v>25.745000000000001</v>
      </c>
      <c r="D970">
        <v>2</v>
      </c>
      <c r="E970" t="s">
        <v>11</v>
      </c>
      <c r="F970" t="s">
        <v>14</v>
      </c>
      <c r="G970">
        <v>3279.8685500000001</v>
      </c>
    </row>
    <row r="971" spans="1:7" x14ac:dyDescent="0.25">
      <c r="A971">
        <v>39</v>
      </c>
      <c r="B971" t="s">
        <v>7</v>
      </c>
      <c r="C971">
        <v>34.32</v>
      </c>
      <c r="D971">
        <v>5</v>
      </c>
      <c r="E971" t="s">
        <v>11</v>
      </c>
      <c r="F971" t="s">
        <v>12</v>
      </c>
      <c r="G971">
        <v>8596.8277999999991</v>
      </c>
    </row>
    <row r="972" spans="1:7" x14ac:dyDescent="0.25">
      <c r="A972">
        <v>50</v>
      </c>
      <c r="B972" t="s">
        <v>7</v>
      </c>
      <c r="C972">
        <v>28.16</v>
      </c>
      <c r="D972">
        <v>3</v>
      </c>
      <c r="E972" t="s">
        <v>11</v>
      </c>
      <c r="F972" t="s">
        <v>12</v>
      </c>
      <c r="G972">
        <v>10702.642400000001</v>
      </c>
    </row>
    <row r="973" spans="1:7" x14ac:dyDescent="0.25">
      <c r="A973">
        <v>34</v>
      </c>
      <c r="B973" t="s">
        <v>7</v>
      </c>
      <c r="C973">
        <v>23.56</v>
      </c>
      <c r="D973">
        <v>0</v>
      </c>
      <c r="E973" t="s">
        <v>11</v>
      </c>
      <c r="F973" t="s">
        <v>14</v>
      </c>
      <c r="G973">
        <v>4992.3764000000001</v>
      </c>
    </row>
    <row r="974" spans="1:7" x14ac:dyDescent="0.25">
      <c r="A974">
        <v>22</v>
      </c>
      <c r="B974" t="s">
        <v>7</v>
      </c>
      <c r="C974">
        <v>20.234999999999999</v>
      </c>
      <c r="D974">
        <v>0</v>
      </c>
      <c r="E974" t="s">
        <v>11</v>
      </c>
      <c r="F974" t="s">
        <v>13</v>
      </c>
      <c r="G974">
        <v>2527.8186500000002</v>
      </c>
    </row>
    <row r="975" spans="1:7" x14ac:dyDescent="0.25">
      <c r="A975">
        <v>19</v>
      </c>
      <c r="B975" t="s">
        <v>7</v>
      </c>
      <c r="C975">
        <v>40.5</v>
      </c>
      <c r="D975">
        <v>0</v>
      </c>
      <c r="E975" t="s">
        <v>11</v>
      </c>
      <c r="F975" t="s">
        <v>9</v>
      </c>
      <c r="G975">
        <v>1759.338</v>
      </c>
    </row>
    <row r="976" spans="1:7" x14ac:dyDescent="0.25">
      <c r="A976">
        <v>26</v>
      </c>
      <c r="B976" t="s">
        <v>10</v>
      </c>
      <c r="C976">
        <v>35.42</v>
      </c>
      <c r="D976">
        <v>0</v>
      </c>
      <c r="E976" t="s">
        <v>11</v>
      </c>
      <c r="F976" t="s">
        <v>12</v>
      </c>
      <c r="G976">
        <v>2322.6217999999999</v>
      </c>
    </row>
    <row r="977" spans="1:7" x14ac:dyDescent="0.25">
      <c r="A977">
        <v>29</v>
      </c>
      <c r="B977" t="s">
        <v>10</v>
      </c>
      <c r="C977">
        <v>22.895</v>
      </c>
      <c r="D977">
        <v>0</v>
      </c>
      <c r="E977" t="s">
        <v>8</v>
      </c>
      <c r="F977" t="s">
        <v>14</v>
      </c>
      <c r="G977">
        <v>16138.762049999999</v>
      </c>
    </row>
    <row r="978" spans="1:7" x14ac:dyDescent="0.25">
      <c r="A978">
        <v>48</v>
      </c>
      <c r="B978" t="s">
        <v>10</v>
      </c>
      <c r="C978">
        <v>40.15</v>
      </c>
      <c r="D978">
        <v>0</v>
      </c>
      <c r="E978" t="s">
        <v>11</v>
      </c>
      <c r="F978" t="s">
        <v>12</v>
      </c>
      <c r="G978">
        <v>7804.1605</v>
      </c>
    </row>
    <row r="979" spans="1:7" x14ac:dyDescent="0.25">
      <c r="A979">
        <v>26</v>
      </c>
      <c r="B979" t="s">
        <v>10</v>
      </c>
      <c r="C979">
        <v>29.15</v>
      </c>
      <c r="D979">
        <v>1</v>
      </c>
      <c r="E979" t="s">
        <v>11</v>
      </c>
      <c r="F979" t="s">
        <v>12</v>
      </c>
      <c r="G979">
        <v>2902.9065000000001</v>
      </c>
    </row>
    <row r="980" spans="1:7" x14ac:dyDescent="0.25">
      <c r="A980">
        <v>45</v>
      </c>
      <c r="B980" t="s">
        <v>7</v>
      </c>
      <c r="C980">
        <v>39.994999999999997</v>
      </c>
      <c r="D980">
        <v>3</v>
      </c>
      <c r="E980" t="s">
        <v>11</v>
      </c>
      <c r="F980" t="s">
        <v>14</v>
      </c>
      <c r="G980">
        <v>9704.6680500000002</v>
      </c>
    </row>
    <row r="981" spans="1:7" x14ac:dyDescent="0.25">
      <c r="A981">
        <v>36</v>
      </c>
      <c r="B981" t="s">
        <v>7</v>
      </c>
      <c r="C981">
        <v>29.92</v>
      </c>
      <c r="D981">
        <v>0</v>
      </c>
      <c r="E981" t="s">
        <v>11</v>
      </c>
      <c r="F981" t="s">
        <v>12</v>
      </c>
      <c r="G981">
        <v>4889.0367999999999</v>
      </c>
    </row>
    <row r="982" spans="1:7" x14ac:dyDescent="0.25">
      <c r="A982">
        <v>54</v>
      </c>
      <c r="B982" t="s">
        <v>10</v>
      </c>
      <c r="C982">
        <v>25.46</v>
      </c>
      <c r="D982">
        <v>1</v>
      </c>
      <c r="E982" t="s">
        <v>11</v>
      </c>
      <c r="F982" t="s">
        <v>14</v>
      </c>
      <c r="G982">
        <v>25517.11363</v>
      </c>
    </row>
    <row r="983" spans="1:7" x14ac:dyDescent="0.25">
      <c r="A983">
        <v>34</v>
      </c>
      <c r="B983" t="s">
        <v>10</v>
      </c>
      <c r="C983">
        <v>21.375</v>
      </c>
      <c r="D983">
        <v>0</v>
      </c>
      <c r="E983" t="s">
        <v>11</v>
      </c>
      <c r="F983" t="s">
        <v>14</v>
      </c>
      <c r="G983">
        <v>4500.33925</v>
      </c>
    </row>
    <row r="984" spans="1:7" x14ac:dyDescent="0.25">
      <c r="A984">
        <v>31</v>
      </c>
      <c r="B984" t="s">
        <v>10</v>
      </c>
      <c r="C984">
        <v>25.9</v>
      </c>
      <c r="D984">
        <v>3</v>
      </c>
      <c r="E984" t="s">
        <v>8</v>
      </c>
      <c r="F984" t="s">
        <v>9</v>
      </c>
      <c r="G984">
        <v>19199.944</v>
      </c>
    </row>
    <row r="985" spans="1:7" x14ac:dyDescent="0.25">
      <c r="A985">
        <v>27</v>
      </c>
      <c r="B985" t="s">
        <v>7</v>
      </c>
      <c r="C985">
        <v>30.59</v>
      </c>
      <c r="D985">
        <v>1</v>
      </c>
      <c r="E985" t="s">
        <v>11</v>
      </c>
      <c r="F985" t="s">
        <v>14</v>
      </c>
      <c r="G985">
        <v>16796.411940000002</v>
      </c>
    </row>
    <row r="986" spans="1:7" x14ac:dyDescent="0.25">
      <c r="A986">
        <v>20</v>
      </c>
      <c r="B986" t="s">
        <v>10</v>
      </c>
      <c r="C986">
        <v>30.114999999999998</v>
      </c>
      <c r="D986">
        <v>5</v>
      </c>
      <c r="E986" t="s">
        <v>11</v>
      </c>
      <c r="F986" t="s">
        <v>14</v>
      </c>
      <c r="G986">
        <v>4915.0598499999996</v>
      </c>
    </row>
    <row r="987" spans="1:7" x14ac:dyDescent="0.25">
      <c r="A987">
        <v>44</v>
      </c>
      <c r="B987" t="s">
        <v>7</v>
      </c>
      <c r="C987">
        <v>25.8</v>
      </c>
      <c r="D987">
        <v>1</v>
      </c>
      <c r="E987" t="s">
        <v>11</v>
      </c>
      <c r="F987" t="s">
        <v>9</v>
      </c>
      <c r="G987">
        <v>7624.63</v>
      </c>
    </row>
    <row r="988" spans="1:7" x14ac:dyDescent="0.25">
      <c r="A988">
        <v>43</v>
      </c>
      <c r="B988" t="s">
        <v>10</v>
      </c>
      <c r="C988">
        <v>30.114999999999998</v>
      </c>
      <c r="D988">
        <v>3</v>
      </c>
      <c r="E988" t="s">
        <v>11</v>
      </c>
      <c r="F988" t="s">
        <v>13</v>
      </c>
      <c r="G988">
        <v>8410.0468500000006</v>
      </c>
    </row>
    <row r="989" spans="1:7" x14ac:dyDescent="0.25">
      <c r="A989">
        <v>45</v>
      </c>
      <c r="B989" t="s">
        <v>7</v>
      </c>
      <c r="C989">
        <v>27.645</v>
      </c>
      <c r="D989">
        <v>1</v>
      </c>
      <c r="E989" t="s">
        <v>11</v>
      </c>
      <c r="F989" t="s">
        <v>13</v>
      </c>
      <c r="G989">
        <v>28340.188849999999</v>
      </c>
    </row>
    <row r="990" spans="1:7" x14ac:dyDescent="0.25">
      <c r="A990">
        <v>34</v>
      </c>
      <c r="B990" t="s">
        <v>10</v>
      </c>
      <c r="C990">
        <v>34.674999999999997</v>
      </c>
      <c r="D990">
        <v>0</v>
      </c>
      <c r="E990" t="s">
        <v>11</v>
      </c>
      <c r="F990" t="s">
        <v>14</v>
      </c>
      <c r="G990">
        <v>4518.8262500000001</v>
      </c>
    </row>
    <row r="991" spans="1:7" x14ac:dyDescent="0.25">
      <c r="A991">
        <v>24</v>
      </c>
      <c r="B991" t="s">
        <v>7</v>
      </c>
      <c r="C991">
        <v>20.52</v>
      </c>
      <c r="D991">
        <v>0</v>
      </c>
      <c r="E991" t="s">
        <v>8</v>
      </c>
      <c r="F991" t="s">
        <v>14</v>
      </c>
      <c r="G991">
        <v>14571.890799999999</v>
      </c>
    </row>
    <row r="992" spans="1:7" x14ac:dyDescent="0.25">
      <c r="A992">
        <v>26</v>
      </c>
      <c r="B992" t="s">
        <v>7</v>
      </c>
      <c r="C992">
        <v>19.8</v>
      </c>
      <c r="D992">
        <v>1</v>
      </c>
      <c r="E992" t="s">
        <v>11</v>
      </c>
      <c r="F992" t="s">
        <v>9</v>
      </c>
      <c r="G992">
        <v>3378.91</v>
      </c>
    </row>
    <row r="993" spans="1:7" x14ac:dyDescent="0.25">
      <c r="A993">
        <v>38</v>
      </c>
      <c r="B993" t="s">
        <v>7</v>
      </c>
      <c r="C993">
        <v>27.835000000000001</v>
      </c>
      <c r="D993">
        <v>2</v>
      </c>
      <c r="E993" t="s">
        <v>11</v>
      </c>
      <c r="F993" t="s">
        <v>14</v>
      </c>
      <c r="G993">
        <v>7144.86265</v>
      </c>
    </row>
    <row r="994" spans="1:7" x14ac:dyDescent="0.25">
      <c r="A994">
        <v>50</v>
      </c>
      <c r="B994" t="s">
        <v>7</v>
      </c>
      <c r="C994">
        <v>31.6</v>
      </c>
      <c r="D994">
        <v>2</v>
      </c>
      <c r="E994" t="s">
        <v>11</v>
      </c>
      <c r="F994" t="s">
        <v>9</v>
      </c>
      <c r="G994">
        <v>10118.424000000001</v>
      </c>
    </row>
    <row r="995" spans="1:7" x14ac:dyDescent="0.25">
      <c r="A995">
        <v>38</v>
      </c>
      <c r="B995" t="s">
        <v>10</v>
      </c>
      <c r="C995">
        <v>28.27</v>
      </c>
      <c r="D995">
        <v>1</v>
      </c>
      <c r="E995" t="s">
        <v>11</v>
      </c>
      <c r="F995" t="s">
        <v>12</v>
      </c>
      <c r="G995">
        <v>5484.4673000000003</v>
      </c>
    </row>
    <row r="996" spans="1:7" x14ac:dyDescent="0.25">
      <c r="A996">
        <v>27</v>
      </c>
      <c r="B996" t="s">
        <v>7</v>
      </c>
      <c r="C996">
        <v>20.045000000000002</v>
      </c>
      <c r="D996">
        <v>3</v>
      </c>
      <c r="E996" t="s">
        <v>8</v>
      </c>
      <c r="F996" t="s">
        <v>13</v>
      </c>
      <c r="G996">
        <v>16420.494549999999</v>
      </c>
    </row>
    <row r="997" spans="1:7" x14ac:dyDescent="0.25">
      <c r="A997">
        <v>39</v>
      </c>
      <c r="B997" t="s">
        <v>7</v>
      </c>
      <c r="C997">
        <v>23.274999999999999</v>
      </c>
      <c r="D997">
        <v>3</v>
      </c>
      <c r="E997" t="s">
        <v>11</v>
      </c>
      <c r="F997" t="s">
        <v>14</v>
      </c>
      <c r="G997">
        <v>7986.4752500000004</v>
      </c>
    </row>
    <row r="998" spans="1:7" x14ac:dyDescent="0.25">
      <c r="A998">
        <v>39</v>
      </c>
      <c r="B998" t="s">
        <v>7</v>
      </c>
      <c r="C998">
        <v>34.1</v>
      </c>
      <c r="D998">
        <v>3</v>
      </c>
      <c r="E998" t="s">
        <v>11</v>
      </c>
      <c r="F998" t="s">
        <v>9</v>
      </c>
      <c r="G998">
        <v>7418.5219999999999</v>
      </c>
    </row>
    <row r="999" spans="1:7" x14ac:dyDescent="0.25">
      <c r="A999">
        <v>63</v>
      </c>
      <c r="B999" t="s">
        <v>7</v>
      </c>
      <c r="C999">
        <v>36.85</v>
      </c>
      <c r="D999">
        <v>0</v>
      </c>
      <c r="E999" t="s">
        <v>11</v>
      </c>
      <c r="F999" t="s">
        <v>12</v>
      </c>
      <c r="G999">
        <v>13887.968500000001</v>
      </c>
    </row>
    <row r="1000" spans="1:7" x14ac:dyDescent="0.25">
      <c r="A1000">
        <v>33</v>
      </c>
      <c r="B1000" t="s">
        <v>7</v>
      </c>
      <c r="C1000">
        <v>36.29</v>
      </c>
      <c r="D1000">
        <v>3</v>
      </c>
      <c r="E1000" t="s">
        <v>11</v>
      </c>
      <c r="F1000" t="s">
        <v>14</v>
      </c>
      <c r="G1000">
        <v>6551.7501000000002</v>
      </c>
    </row>
    <row r="1001" spans="1:7" x14ac:dyDescent="0.25">
      <c r="A1001">
        <v>36</v>
      </c>
      <c r="B1001" t="s">
        <v>7</v>
      </c>
      <c r="C1001">
        <v>26.885000000000002</v>
      </c>
      <c r="D1001">
        <v>0</v>
      </c>
      <c r="E1001" t="s">
        <v>11</v>
      </c>
      <c r="F1001" t="s">
        <v>13</v>
      </c>
      <c r="G1001">
        <v>5267.8181500000001</v>
      </c>
    </row>
    <row r="1002" spans="1:7" x14ac:dyDescent="0.25">
      <c r="A1002">
        <v>30</v>
      </c>
      <c r="B1002" t="s">
        <v>10</v>
      </c>
      <c r="C1002">
        <v>22.99</v>
      </c>
      <c r="D1002">
        <v>2</v>
      </c>
      <c r="E1002" t="s">
        <v>8</v>
      </c>
      <c r="F1002" t="s">
        <v>13</v>
      </c>
      <c r="G1002">
        <v>17361.766100000001</v>
      </c>
    </row>
    <row r="1003" spans="1:7" x14ac:dyDescent="0.25">
      <c r="A1003">
        <v>24</v>
      </c>
      <c r="B1003" t="s">
        <v>10</v>
      </c>
      <c r="C1003">
        <v>32.700000000000003</v>
      </c>
      <c r="D1003">
        <v>0</v>
      </c>
      <c r="E1003" t="s">
        <v>8</v>
      </c>
      <c r="F1003" t="s">
        <v>9</v>
      </c>
      <c r="G1003">
        <v>34472.841</v>
      </c>
    </row>
    <row r="1004" spans="1:7" x14ac:dyDescent="0.25">
      <c r="A1004">
        <v>24</v>
      </c>
      <c r="B1004" t="s">
        <v>10</v>
      </c>
      <c r="C1004">
        <v>25.8</v>
      </c>
      <c r="D1004">
        <v>0</v>
      </c>
      <c r="E1004" t="s">
        <v>11</v>
      </c>
      <c r="F1004" t="s">
        <v>9</v>
      </c>
      <c r="G1004">
        <v>1972.95</v>
      </c>
    </row>
    <row r="1005" spans="1:7" x14ac:dyDescent="0.25">
      <c r="A1005">
        <v>48</v>
      </c>
      <c r="B1005" t="s">
        <v>10</v>
      </c>
      <c r="C1005">
        <v>29.6</v>
      </c>
      <c r="D1005">
        <v>0</v>
      </c>
      <c r="E1005" t="s">
        <v>11</v>
      </c>
      <c r="F1005" t="s">
        <v>9</v>
      </c>
      <c r="G1005">
        <v>21232.182260000001</v>
      </c>
    </row>
    <row r="1006" spans="1:7" x14ac:dyDescent="0.25">
      <c r="A1006">
        <v>47</v>
      </c>
      <c r="B1006" t="s">
        <v>10</v>
      </c>
      <c r="C1006">
        <v>19.190000000000001</v>
      </c>
      <c r="D1006">
        <v>1</v>
      </c>
      <c r="E1006" t="s">
        <v>11</v>
      </c>
      <c r="F1006" t="s">
        <v>14</v>
      </c>
      <c r="G1006">
        <v>8627.5411000000004</v>
      </c>
    </row>
    <row r="1007" spans="1:7" x14ac:dyDescent="0.25">
      <c r="A1007">
        <v>29</v>
      </c>
      <c r="B1007" t="s">
        <v>10</v>
      </c>
      <c r="C1007">
        <v>31.73</v>
      </c>
      <c r="D1007">
        <v>2</v>
      </c>
      <c r="E1007" t="s">
        <v>11</v>
      </c>
      <c r="F1007" t="s">
        <v>13</v>
      </c>
      <c r="G1007">
        <v>4433.3877000000002</v>
      </c>
    </row>
    <row r="1008" spans="1:7" x14ac:dyDescent="0.25">
      <c r="A1008">
        <v>28</v>
      </c>
      <c r="B1008" t="s">
        <v>10</v>
      </c>
      <c r="C1008">
        <v>29.26</v>
      </c>
      <c r="D1008">
        <v>2</v>
      </c>
      <c r="E1008" t="s">
        <v>11</v>
      </c>
      <c r="F1008" t="s">
        <v>14</v>
      </c>
      <c r="G1008">
        <v>4438.2633999999998</v>
      </c>
    </row>
    <row r="1009" spans="1:7" x14ac:dyDescent="0.25">
      <c r="A1009">
        <v>47</v>
      </c>
      <c r="B1009" t="s">
        <v>10</v>
      </c>
      <c r="C1009">
        <v>28.215</v>
      </c>
      <c r="D1009">
        <v>3</v>
      </c>
      <c r="E1009" t="s">
        <v>8</v>
      </c>
      <c r="F1009" t="s">
        <v>13</v>
      </c>
      <c r="G1009">
        <v>24915.220850000002</v>
      </c>
    </row>
    <row r="1010" spans="1:7" x14ac:dyDescent="0.25">
      <c r="A1010">
        <v>25</v>
      </c>
      <c r="B1010" t="s">
        <v>10</v>
      </c>
      <c r="C1010">
        <v>24.984999999999999</v>
      </c>
      <c r="D1010">
        <v>2</v>
      </c>
      <c r="E1010" t="s">
        <v>11</v>
      </c>
      <c r="F1010" t="s">
        <v>14</v>
      </c>
      <c r="G1010">
        <v>23241.47453</v>
      </c>
    </row>
    <row r="1011" spans="1:7" x14ac:dyDescent="0.25">
      <c r="A1011">
        <v>51</v>
      </c>
      <c r="B1011" t="s">
        <v>10</v>
      </c>
      <c r="C1011">
        <v>27.74</v>
      </c>
      <c r="D1011">
        <v>1</v>
      </c>
      <c r="E1011" t="s">
        <v>11</v>
      </c>
      <c r="F1011" t="s">
        <v>14</v>
      </c>
      <c r="G1011">
        <v>9957.7216000000008</v>
      </c>
    </row>
    <row r="1012" spans="1:7" x14ac:dyDescent="0.25">
      <c r="A1012">
        <v>48</v>
      </c>
      <c r="B1012" t="s">
        <v>7</v>
      </c>
      <c r="C1012">
        <v>22.8</v>
      </c>
      <c r="D1012">
        <v>0</v>
      </c>
      <c r="E1012" t="s">
        <v>11</v>
      </c>
      <c r="F1012" t="s">
        <v>9</v>
      </c>
      <c r="G1012">
        <v>8269.0439999999999</v>
      </c>
    </row>
    <row r="1013" spans="1:7" x14ac:dyDescent="0.25">
      <c r="A1013">
        <v>43</v>
      </c>
      <c r="B1013" t="s">
        <v>10</v>
      </c>
      <c r="C1013">
        <v>20.13</v>
      </c>
      <c r="D1013">
        <v>2</v>
      </c>
      <c r="E1013" t="s">
        <v>8</v>
      </c>
      <c r="F1013" t="s">
        <v>12</v>
      </c>
      <c r="G1013">
        <v>18767.737700000001</v>
      </c>
    </row>
    <row r="1014" spans="1:7" x14ac:dyDescent="0.25">
      <c r="A1014">
        <v>61</v>
      </c>
      <c r="B1014" t="s">
        <v>7</v>
      </c>
      <c r="C1014">
        <v>33.33</v>
      </c>
      <c r="D1014">
        <v>4</v>
      </c>
      <c r="E1014" t="s">
        <v>11</v>
      </c>
      <c r="F1014" t="s">
        <v>12</v>
      </c>
      <c r="G1014">
        <v>36580.282160000002</v>
      </c>
    </row>
    <row r="1015" spans="1:7" x14ac:dyDescent="0.25">
      <c r="A1015">
        <v>48</v>
      </c>
      <c r="B1015" t="s">
        <v>10</v>
      </c>
      <c r="C1015">
        <v>32.299999999999997</v>
      </c>
      <c r="D1015">
        <v>1</v>
      </c>
      <c r="E1015" t="s">
        <v>11</v>
      </c>
      <c r="F1015" t="s">
        <v>13</v>
      </c>
      <c r="G1015">
        <v>8765.2489999999998</v>
      </c>
    </row>
    <row r="1016" spans="1:7" x14ac:dyDescent="0.25">
      <c r="A1016">
        <v>38</v>
      </c>
      <c r="B1016" t="s">
        <v>7</v>
      </c>
      <c r="C1016">
        <v>27.6</v>
      </c>
      <c r="D1016">
        <v>0</v>
      </c>
      <c r="E1016" t="s">
        <v>11</v>
      </c>
      <c r="F1016" t="s">
        <v>9</v>
      </c>
      <c r="G1016">
        <v>5383.5360000000001</v>
      </c>
    </row>
    <row r="1017" spans="1:7" x14ac:dyDescent="0.25">
      <c r="A1017">
        <v>59</v>
      </c>
      <c r="B1017" t="s">
        <v>10</v>
      </c>
      <c r="C1017">
        <v>25.46</v>
      </c>
      <c r="D1017">
        <v>0</v>
      </c>
      <c r="E1017" t="s">
        <v>11</v>
      </c>
      <c r="F1017" t="s">
        <v>13</v>
      </c>
      <c r="G1017">
        <v>12124.992399999999</v>
      </c>
    </row>
    <row r="1018" spans="1:7" x14ac:dyDescent="0.25">
      <c r="A1018">
        <v>19</v>
      </c>
      <c r="B1018" t="s">
        <v>7</v>
      </c>
      <c r="C1018">
        <v>24.605</v>
      </c>
      <c r="D1018">
        <v>1</v>
      </c>
      <c r="E1018" t="s">
        <v>11</v>
      </c>
      <c r="F1018" t="s">
        <v>13</v>
      </c>
      <c r="G1018">
        <v>2709.24395</v>
      </c>
    </row>
    <row r="1019" spans="1:7" x14ac:dyDescent="0.25">
      <c r="A1019">
        <v>26</v>
      </c>
      <c r="B1019" t="s">
        <v>7</v>
      </c>
      <c r="C1019">
        <v>34.200000000000003</v>
      </c>
      <c r="D1019">
        <v>2</v>
      </c>
      <c r="E1019" t="s">
        <v>11</v>
      </c>
      <c r="F1019" t="s">
        <v>9</v>
      </c>
      <c r="G1019">
        <v>3987.9259999999999</v>
      </c>
    </row>
    <row r="1020" spans="1:7" x14ac:dyDescent="0.25">
      <c r="A1020">
        <v>54</v>
      </c>
      <c r="B1020" t="s">
        <v>7</v>
      </c>
      <c r="C1020">
        <v>35.814999999999998</v>
      </c>
      <c r="D1020">
        <v>3</v>
      </c>
      <c r="E1020" t="s">
        <v>11</v>
      </c>
      <c r="F1020" t="s">
        <v>13</v>
      </c>
      <c r="G1020">
        <v>12495.290849999999</v>
      </c>
    </row>
    <row r="1021" spans="1:7" x14ac:dyDescent="0.25">
      <c r="A1021">
        <v>21</v>
      </c>
      <c r="B1021" t="s">
        <v>7</v>
      </c>
      <c r="C1021">
        <v>32.68</v>
      </c>
      <c r="D1021">
        <v>2</v>
      </c>
      <c r="E1021" t="s">
        <v>11</v>
      </c>
      <c r="F1021" t="s">
        <v>13</v>
      </c>
      <c r="G1021">
        <v>26018.950519999999</v>
      </c>
    </row>
    <row r="1022" spans="1:7" x14ac:dyDescent="0.25">
      <c r="A1022">
        <v>51</v>
      </c>
      <c r="B1022" t="s">
        <v>10</v>
      </c>
      <c r="C1022">
        <v>37</v>
      </c>
      <c r="D1022">
        <v>0</v>
      </c>
      <c r="E1022" t="s">
        <v>11</v>
      </c>
      <c r="F1022" t="s">
        <v>9</v>
      </c>
      <c r="G1022">
        <v>8798.5930000000008</v>
      </c>
    </row>
    <row r="1023" spans="1:7" x14ac:dyDescent="0.25">
      <c r="A1023">
        <v>22</v>
      </c>
      <c r="B1023" t="s">
        <v>7</v>
      </c>
      <c r="C1023">
        <v>31.02</v>
      </c>
      <c r="D1023">
        <v>3</v>
      </c>
      <c r="E1023" t="s">
        <v>8</v>
      </c>
      <c r="F1023" t="s">
        <v>12</v>
      </c>
      <c r="G1023">
        <v>35595.589800000002</v>
      </c>
    </row>
    <row r="1024" spans="1:7" x14ac:dyDescent="0.25">
      <c r="A1024">
        <v>47</v>
      </c>
      <c r="B1024" t="s">
        <v>10</v>
      </c>
      <c r="C1024">
        <v>36.08</v>
      </c>
      <c r="D1024">
        <v>1</v>
      </c>
      <c r="E1024" t="s">
        <v>8</v>
      </c>
      <c r="F1024" t="s">
        <v>12</v>
      </c>
      <c r="G1024">
        <v>42211.138200000001</v>
      </c>
    </row>
    <row r="1025" spans="1:7" x14ac:dyDescent="0.25">
      <c r="A1025">
        <v>18</v>
      </c>
      <c r="B1025" t="s">
        <v>10</v>
      </c>
      <c r="C1025">
        <v>23.32</v>
      </c>
      <c r="D1025">
        <v>1</v>
      </c>
      <c r="E1025" t="s">
        <v>11</v>
      </c>
      <c r="F1025" t="s">
        <v>12</v>
      </c>
      <c r="G1025">
        <v>1711.0268000000001</v>
      </c>
    </row>
    <row r="1026" spans="1:7" x14ac:dyDescent="0.25">
      <c r="A1026">
        <v>47</v>
      </c>
      <c r="B1026" t="s">
        <v>7</v>
      </c>
      <c r="C1026">
        <v>45.32</v>
      </c>
      <c r="D1026">
        <v>1</v>
      </c>
      <c r="E1026" t="s">
        <v>11</v>
      </c>
      <c r="F1026" t="s">
        <v>12</v>
      </c>
      <c r="G1026">
        <v>8569.8618000000006</v>
      </c>
    </row>
    <row r="1027" spans="1:7" x14ac:dyDescent="0.25">
      <c r="A1027">
        <v>21</v>
      </c>
      <c r="B1027" t="s">
        <v>7</v>
      </c>
      <c r="C1027">
        <v>34.6</v>
      </c>
      <c r="D1027">
        <v>0</v>
      </c>
      <c r="E1027" t="s">
        <v>11</v>
      </c>
      <c r="F1027" t="s">
        <v>9</v>
      </c>
      <c r="G1027">
        <v>2020.1769999999999</v>
      </c>
    </row>
    <row r="1028" spans="1:7" x14ac:dyDescent="0.25">
      <c r="A1028">
        <v>19</v>
      </c>
      <c r="B1028" t="s">
        <v>10</v>
      </c>
      <c r="C1028">
        <v>26.03</v>
      </c>
      <c r="D1028">
        <v>1</v>
      </c>
      <c r="E1028" t="s">
        <v>8</v>
      </c>
      <c r="F1028" t="s">
        <v>13</v>
      </c>
      <c r="G1028">
        <v>16450.894700000001</v>
      </c>
    </row>
    <row r="1029" spans="1:7" x14ac:dyDescent="0.25">
      <c r="A1029">
        <v>23</v>
      </c>
      <c r="B1029" t="s">
        <v>10</v>
      </c>
      <c r="C1029">
        <v>18.715</v>
      </c>
      <c r="D1029">
        <v>0</v>
      </c>
      <c r="E1029" t="s">
        <v>11</v>
      </c>
      <c r="F1029" t="s">
        <v>13</v>
      </c>
      <c r="G1029">
        <v>21595.382290000001</v>
      </c>
    </row>
    <row r="1030" spans="1:7" x14ac:dyDescent="0.25">
      <c r="A1030">
        <v>54</v>
      </c>
      <c r="B1030" t="s">
        <v>10</v>
      </c>
      <c r="C1030">
        <v>31.6</v>
      </c>
      <c r="D1030">
        <v>0</v>
      </c>
      <c r="E1030" t="s">
        <v>11</v>
      </c>
      <c r="F1030" t="s">
        <v>9</v>
      </c>
      <c r="G1030">
        <v>9850.4320000000007</v>
      </c>
    </row>
    <row r="1031" spans="1:7" x14ac:dyDescent="0.25">
      <c r="A1031">
        <v>37</v>
      </c>
      <c r="B1031" t="s">
        <v>7</v>
      </c>
      <c r="C1031">
        <v>17.29</v>
      </c>
      <c r="D1031">
        <v>2</v>
      </c>
      <c r="E1031" t="s">
        <v>11</v>
      </c>
      <c r="F1031" t="s">
        <v>14</v>
      </c>
      <c r="G1031">
        <v>6877.9800999999998</v>
      </c>
    </row>
    <row r="1032" spans="1:7" x14ac:dyDescent="0.25">
      <c r="A1032">
        <v>46</v>
      </c>
      <c r="B1032" t="s">
        <v>7</v>
      </c>
      <c r="C1032">
        <v>23.655000000000001</v>
      </c>
      <c r="D1032">
        <v>1</v>
      </c>
      <c r="E1032" t="s">
        <v>8</v>
      </c>
      <c r="F1032" t="s">
        <v>13</v>
      </c>
      <c r="G1032">
        <v>21677.283449999999</v>
      </c>
    </row>
    <row r="1033" spans="1:7" x14ac:dyDescent="0.25">
      <c r="A1033">
        <v>55</v>
      </c>
      <c r="B1033" t="s">
        <v>7</v>
      </c>
      <c r="C1033">
        <v>35.200000000000003</v>
      </c>
      <c r="D1033">
        <v>0</v>
      </c>
      <c r="E1033" t="s">
        <v>8</v>
      </c>
      <c r="F1033" t="s">
        <v>12</v>
      </c>
      <c r="G1033">
        <v>44423.803</v>
      </c>
    </row>
    <row r="1034" spans="1:7" x14ac:dyDescent="0.25">
      <c r="A1034">
        <v>30</v>
      </c>
      <c r="B1034" t="s">
        <v>7</v>
      </c>
      <c r="C1034">
        <v>27.93</v>
      </c>
      <c r="D1034">
        <v>0</v>
      </c>
      <c r="E1034" t="s">
        <v>11</v>
      </c>
      <c r="F1034" t="s">
        <v>14</v>
      </c>
      <c r="G1034">
        <v>4137.5227000000004</v>
      </c>
    </row>
    <row r="1035" spans="1:7" x14ac:dyDescent="0.25">
      <c r="A1035">
        <v>18</v>
      </c>
      <c r="B1035" t="s">
        <v>10</v>
      </c>
      <c r="C1035">
        <v>21.565000000000001</v>
      </c>
      <c r="D1035">
        <v>0</v>
      </c>
      <c r="E1035" t="s">
        <v>8</v>
      </c>
      <c r="F1035" t="s">
        <v>14</v>
      </c>
      <c r="G1035">
        <v>13747.87235</v>
      </c>
    </row>
    <row r="1036" spans="1:7" x14ac:dyDescent="0.25">
      <c r="A1036">
        <v>61</v>
      </c>
      <c r="B1036" t="s">
        <v>10</v>
      </c>
      <c r="C1036">
        <v>38.380000000000003</v>
      </c>
      <c r="D1036">
        <v>0</v>
      </c>
      <c r="E1036" t="s">
        <v>11</v>
      </c>
      <c r="F1036" t="s">
        <v>13</v>
      </c>
      <c r="G1036">
        <v>12950.0712</v>
      </c>
    </row>
    <row r="1037" spans="1:7" x14ac:dyDescent="0.25">
      <c r="A1037">
        <v>54</v>
      </c>
      <c r="B1037" t="s">
        <v>7</v>
      </c>
      <c r="C1037">
        <v>23</v>
      </c>
      <c r="D1037">
        <v>3</v>
      </c>
      <c r="E1037" t="s">
        <v>11</v>
      </c>
      <c r="F1037" t="s">
        <v>9</v>
      </c>
      <c r="G1037">
        <v>12094.477999999999</v>
      </c>
    </row>
    <row r="1038" spans="1:7" x14ac:dyDescent="0.25">
      <c r="A1038">
        <v>22</v>
      </c>
      <c r="B1038" t="s">
        <v>10</v>
      </c>
      <c r="C1038">
        <v>37.07</v>
      </c>
      <c r="D1038">
        <v>2</v>
      </c>
      <c r="E1038" t="s">
        <v>8</v>
      </c>
      <c r="F1038" t="s">
        <v>12</v>
      </c>
      <c r="G1038">
        <v>37484.4493</v>
      </c>
    </row>
    <row r="1039" spans="1:7" x14ac:dyDescent="0.25">
      <c r="A1039">
        <v>45</v>
      </c>
      <c r="B1039" t="s">
        <v>7</v>
      </c>
      <c r="C1039">
        <v>30.495000000000001</v>
      </c>
      <c r="D1039">
        <v>1</v>
      </c>
      <c r="E1039" t="s">
        <v>8</v>
      </c>
      <c r="F1039" t="s">
        <v>13</v>
      </c>
      <c r="G1039">
        <v>39725.518049999999</v>
      </c>
    </row>
    <row r="1040" spans="1:7" x14ac:dyDescent="0.25">
      <c r="A1040">
        <v>22</v>
      </c>
      <c r="B1040" t="s">
        <v>10</v>
      </c>
      <c r="C1040">
        <v>28.88</v>
      </c>
      <c r="D1040">
        <v>0</v>
      </c>
      <c r="E1040" t="s">
        <v>11</v>
      </c>
      <c r="F1040" t="s">
        <v>14</v>
      </c>
      <c r="G1040">
        <v>2250.8352</v>
      </c>
    </row>
    <row r="1041" spans="1:7" x14ac:dyDescent="0.25">
      <c r="A1041">
        <v>19</v>
      </c>
      <c r="B1041" t="s">
        <v>10</v>
      </c>
      <c r="C1041">
        <v>27.265000000000001</v>
      </c>
      <c r="D1041">
        <v>2</v>
      </c>
      <c r="E1041" t="s">
        <v>11</v>
      </c>
      <c r="F1041" t="s">
        <v>13</v>
      </c>
      <c r="G1041">
        <v>22493.659640000002</v>
      </c>
    </row>
    <row r="1042" spans="1:7" x14ac:dyDescent="0.25">
      <c r="A1042">
        <v>35</v>
      </c>
      <c r="B1042" t="s">
        <v>7</v>
      </c>
      <c r="C1042">
        <v>28.024999999999999</v>
      </c>
      <c r="D1042">
        <v>0</v>
      </c>
      <c r="E1042" t="s">
        <v>8</v>
      </c>
      <c r="F1042" t="s">
        <v>13</v>
      </c>
      <c r="G1042">
        <v>20234.854749999999</v>
      </c>
    </row>
    <row r="1043" spans="1:7" x14ac:dyDescent="0.25">
      <c r="A1043">
        <v>18</v>
      </c>
      <c r="B1043" t="s">
        <v>10</v>
      </c>
      <c r="C1043">
        <v>23.085000000000001</v>
      </c>
      <c r="D1043">
        <v>0</v>
      </c>
      <c r="E1043" t="s">
        <v>11</v>
      </c>
      <c r="F1043" t="s">
        <v>14</v>
      </c>
      <c r="G1043">
        <v>1704.7001499999999</v>
      </c>
    </row>
    <row r="1044" spans="1:7" x14ac:dyDescent="0.25">
      <c r="A1044">
        <v>20</v>
      </c>
      <c r="B1044" t="s">
        <v>10</v>
      </c>
      <c r="C1044">
        <v>30.684999999999999</v>
      </c>
      <c r="D1044">
        <v>0</v>
      </c>
      <c r="E1044" t="s">
        <v>8</v>
      </c>
      <c r="F1044" t="s">
        <v>14</v>
      </c>
      <c r="G1044">
        <v>33475.817150000003</v>
      </c>
    </row>
    <row r="1045" spans="1:7" x14ac:dyDescent="0.25">
      <c r="A1045">
        <v>28</v>
      </c>
      <c r="B1045" t="s">
        <v>7</v>
      </c>
      <c r="C1045">
        <v>25.8</v>
      </c>
      <c r="D1045">
        <v>0</v>
      </c>
      <c r="E1045" t="s">
        <v>11</v>
      </c>
      <c r="F1045" t="s">
        <v>9</v>
      </c>
      <c r="G1045">
        <v>3161.4540000000002</v>
      </c>
    </row>
    <row r="1046" spans="1:7" x14ac:dyDescent="0.25">
      <c r="A1046">
        <v>55</v>
      </c>
      <c r="B1046" t="s">
        <v>10</v>
      </c>
      <c r="C1046">
        <v>35.244999999999997</v>
      </c>
      <c r="D1046">
        <v>1</v>
      </c>
      <c r="E1046" t="s">
        <v>11</v>
      </c>
      <c r="F1046" t="s">
        <v>14</v>
      </c>
      <c r="G1046">
        <v>11394.065549999999</v>
      </c>
    </row>
    <row r="1047" spans="1:7" x14ac:dyDescent="0.25">
      <c r="A1047">
        <v>43</v>
      </c>
      <c r="B1047" t="s">
        <v>7</v>
      </c>
      <c r="C1047">
        <v>24.7</v>
      </c>
      <c r="D1047">
        <v>2</v>
      </c>
      <c r="E1047" t="s">
        <v>8</v>
      </c>
      <c r="F1047" t="s">
        <v>13</v>
      </c>
      <c r="G1047">
        <v>21880.82</v>
      </c>
    </row>
    <row r="1048" spans="1:7" x14ac:dyDescent="0.25">
      <c r="A1048">
        <v>43</v>
      </c>
      <c r="B1048" t="s">
        <v>7</v>
      </c>
      <c r="C1048">
        <v>25.08</v>
      </c>
      <c r="D1048">
        <v>0</v>
      </c>
      <c r="E1048" t="s">
        <v>11</v>
      </c>
      <c r="F1048" t="s">
        <v>14</v>
      </c>
      <c r="G1048">
        <v>7325.0482000000002</v>
      </c>
    </row>
    <row r="1049" spans="1:7" x14ac:dyDescent="0.25">
      <c r="A1049">
        <v>22</v>
      </c>
      <c r="B1049" t="s">
        <v>10</v>
      </c>
      <c r="C1049">
        <v>52.58</v>
      </c>
      <c r="D1049">
        <v>1</v>
      </c>
      <c r="E1049" t="s">
        <v>8</v>
      </c>
      <c r="F1049" t="s">
        <v>12</v>
      </c>
      <c r="G1049">
        <v>44501.398200000003</v>
      </c>
    </row>
    <row r="1050" spans="1:7" x14ac:dyDescent="0.25">
      <c r="A1050">
        <v>25</v>
      </c>
      <c r="B1050" t="s">
        <v>7</v>
      </c>
      <c r="C1050">
        <v>22.515000000000001</v>
      </c>
      <c r="D1050">
        <v>1</v>
      </c>
      <c r="E1050" t="s">
        <v>11</v>
      </c>
      <c r="F1050" t="s">
        <v>13</v>
      </c>
      <c r="G1050">
        <v>3594.17085</v>
      </c>
    </row>
    <row r="1051" spans="1:7" x14ac:dyDescent="0.25">
      <c r="A1051">
        <v>49</v>
      </c>
      <c r="B1051" t="s">
        <v>10</v>
      </c>
      <c r="C1051">
        <v>30.9</v>
      </c>
      <c r="D1051">
        <v>0</v>
      </c>
      <c r="E1051" t="s">
        <v>8</v>
      </c>
      <c r="F1051" t="s">
        <v>9</v>
      </c>
      <c r="G1051">
        <v>39727.614000000001</v>
      </c>
    </row>
    <row r="1052" spans="1:7" x14ac:dyDescent="0.25">
      <c r="A1052">
        <v>44</v>
      </c>
      <c r="B1052" t="s">
        <v>7</v>
      </c>
      <c r="C1052">
        <v>36.954999999999998</v>
      </c>
      <c r="D1052">
        <v>1</v>
      </c>
      <c r="E1052" t="s">
        <v>11</v>
      </c>
      <c r="F1052" t="s">
        <v>13</v>
      </c>
      <c r="G1052">
        <v>8023.1354499999998</v>
      </c>
    </row>
    <row r="1053" spans="1:7" x14ac:dyDescent="0.25">
      <c r="A1053">
        <v>64</v>
      </c>
      <c r="B1053" t="s">
        <v>10</v>
      </c>
      <c r="C1053">
        <v>26.41</v>
      </c>
      <c r="D1053">
        <v>0</v>
      </c>
      <c r="E1053" t="s">
        <v>11</v>
      </c>
      <c r="F1053" t="s">
        <v>14</v>
      </c>
      <c r="G1053">
        <v>14394.5579</v>
      </c>
    </row>
    <row r="1054" spans="1:7" x14ac:dyDescent="0.25">
      <c r="A1054">
        <v>49</v>
      </c>
      <c r="B1054" t="s">
        <v>10</v>
      </c>
      <c r="C1054">
        <v>29.83</v>
      </c>
      <c r="D1054">
        <v>1</v>
      </c>
      <c r="E1054" t="s">
        <v>11</v>
      </c>
      <c r="F1054" t="s">
        <v>14</v>
      </c>
      <c r="G1054">
        <v>9288.0267000000003</v>
      </c>
    </row>
    <row r="1055" spans="1:7" x14ac:dyDescent="0.25">
      <c r="A1055">
        <v>47</v>
      </c>
      <c r="B1055" t="s">
        <v>10</v>
      </c>
      <c r="C1055">
        <v>29.8</v>
      </c>
      <c r="D1055">
        <v>3</v>
      </c>
      <c r="E1055" t="s">
        <v>8</v>
      </c>
      <c r="F1055" t="s">
        <v>9</v>
      </c>
      <c r="G1055">
        <v>25309.489000000001</v>
      </c>
    </row>
    <row r="1056" spans="1:7" x14ac:dyDescent="0.25">
      <c r="A1056">
        <v>27</v>
      </c>
      <c r="B1056" t="s">
        <v>7</v>
      </c>
      <c r="C1056">
        <v>21.47</v>
      </c>
      <c r="D1056">
        <v>0</v>
      </c>
      <c r="E1056" t="s">
        <v>11</v>
      </c>
      <c r="F1056" t="s">
        <v>13</v>
      </c>
      <c r="G1056">
        <v>3353.4703</v>
      </c>
    </row>
    <row r="1057" spans="1:7" x14ac:dyDescent="0.25">
      <c r="A1057">
        <v>55</v>
      </c>
      <c r="B1057" t="s">
        <v>10</v>
      </c>
      <c r="C1057">
        <v>27.645</v>
      </c>
      <c r="D1057">
        <v>0</v>
      </c>
      <c r="E1057" t="s">
        <v>11</v>
      </c>
      <c r="F1057" t="s">
        <v>13</v>
      </c>
      <c r="G1057">
        <v>10594.501550000001</v>
      </c>
    </row>
    <row r="1058" spans="1:7" x14ac:dyDescent="0.25">
      <c r="A1058">
        <v>48</v>
      </c>
      <c r="B1058" t="s">
        <v>7</v>
      </c>
      <c r="C1058">
        <v>28.9</v>
      </c>
      <c r="D1058">
        <v>0</v>
      </c>
      <c r="E1058" t="s">
        <v>11</v>
      </c>
      <c r="F1058" t="s">
        <v>9</v>
      </c>
      <c r="G1058">
        <v>8277.5229999999992</v>
      </c>
    </row>
    <row r="1059" spans="1:7" x14ac:dyDescent="0.25">
      <c r="A1059">
        <v>45</v>
      </c>
      <c r="B1059" t="s">
        <v>7</v>
      </c>
      <c r="C1059">
        <v>31.79</v>
      </c>
      <c r="D1059">
        <v>0</v>
      </c>
      <c r="E1059" t="s">
        <v>11</v>
      </c>
      <c r="F1059" t="s">
        <v>12</v>
      </c>
      <c r="G1059">
        <v>17929.303370000001</v>
      </c>
    </row>
    <row r="1060" spans="1:7" x14ac:dyDescent="0.25">
      <c r="A1060">
        <v>24</v>
      </c>
      <c r="B1060" t="s">
        <v>7</v>
      </c>
      <c r="C1060">
        <v>39.49</v>
      </c>
      <c r="D1060">
        <v>0</v>
      </c>
      <c r="E1060" t="s">
        <v>11</v>
      </c>
      <c r="F1060" t="s">
        <v>12</v>
      </c>
      <c r="G1060">
        <v>2480.9791</v>
      </c>
    </row>
    <row r="1061" spans="1:7" x14ac:dyDescent="0.25">
      <c r="A1061">
        <v>32</v>
      </c>
      <c r="B1061" t="s">
        <v>10</v>
      </c>
      <c r="C1061">
        <v>33.82</v>
      </c>
      <c r="D1061">
        <v>1</v>
      </c>
      <c r="E1061" t="s">
        <v>11</v>
      </c>
      <c r="F1061" t="s">
        <v>13</v>
      </c>
      <c r="G1061">
        <v>4462.7218000000003</v>
      </c>
    </row>
    <row r="1062" spans="1:7" x14ac:dyDescent="0.25">
      <c r="A1062">
        <v>24</v>
      </c>
      <c r="B1062" t="s">
        <v>10</v>
      </c>
      <c r="C1062">
        <v>32.01</v>
      </c>
      <c r="D1062">
        <v>0</v>
      </c>
      <c r="E1062" t="s">
        <v>11</v>
      </c>
      <c r="F1062" t="s">
        <v>12</v>
      </c>
      <c r="G1062">
        <v>1981.5818999999999</v>
      </c>
    </row>
    <row r="1063" spans="1:7" x14ac:dyDescent="0.25">
      <c r="A1063">
        <v>57</v>
      </c>
      <c r="B1063" t="s">
        <v>10</v>
      </c>
      <c r="C1063">
        <v>27.94</v>
      </c>
      <c r="D1063">
        <v>1</v>
      </c>
      <c r="E1063" t="s">
        <v>11</v>
      </c>
      <c r="F1063" t="s">
        <v>12</v>
      </c>
      <c r="G1063">
        <v>11554.223599999999</v>
      </c>
    </row>
    <row r="1064" spans="1:7" x14ac:dyDescent="0.25">
      <c r="A1064">
        <v>59</v>
      </c>
      <c r="B1064" t="s">
        <v>10</v>
      </c>
      <c r="C1064">
        <v>41.14</v>
      </c>
      <c r="D1064">
        <v>1</v>
      </c>
      <c r="E1064" t="s">
        <v>8</v>
      </c>
      <c r="F1064" t="s">
        <v>12</v>
      </c>
      <c r="G1064">
        <v>48970.247600000002</v>
      </c>
    </row>
    <row r="1065" spans="1:7" x14ac:dyDescent="0.25">
      <c r="A1065">
        <v>36</v>
      </c>
      <c r="B1065" t="s">
        <v>10</v>
      </c>
      <c r="C1065">
        <v>28.594999999999999</v>
      </c>
      <c r="D1065">
        <v>3</v>
      </c>
      <c r="E1065" t="s">
        <v>11</v>
      </c>
      <c r="F1065" t="s">
        <v>13</v>
      </c>
      <c r="G1065">
        <v>6548.1950500000003</v>
      </c>
    </row>
    <row r="1066" spans="1:7" x14ac:dyDescent="0.25">
      <c r="A1066">
        <v>29</v>
      </c>
      <c r="B1066" t="s">
        <v>7</v>
      </c>
      <c r="C1066">
        <v>25.6</v>
      </c>
      <c r="D1066">
        <v>4</v>
      </c>
      <c r="E1066" t="s">
        <v>11</v>
      </c>
      <c r="F1066" t="s">
        <v>9</v>
      </c>
      <c r="G1066">
        <v>5708.8670000000002</v>
      </c>
    </row>
    <row r="1067" spans="1:7" x14ac:dyDescent="0.25">
      <c r="A1067">
        <v>42</v>
      </c>
      <c r="B1067" t="s">
        <v>7</v>
      </c>
      <c r="C1067">
        <v>25.3</v>
      </c>
      <c r="D1067">
        <v>1</v>
      </c>
      <c r="E1067" t="s">
        <v>11</v>
      </c>
      <c r="F1067" t="s">
        <v>9</v>
      </c>
      <c r="G1067">
        <v>7045.4989999999998</v>
      </c>
    </row>
    <row r="1068" spans="1:7" x14ac:dyDescent="0.25">
      <c r="A1068">
        <v>48</v>
      </c>
      <c r="B1068" t="s">
        <v>10</v>
      </c>
      <c r="C1068">
        <v>37.29</v>
      </c>
      <c r="D1068">
        <v>2</v>
      </c>
      <c r="E1068" t="s">
        <v>11</v>
      </c>
      <c r="F1068" t="s">
        <v>12</v>
      </c>
      <c r="G1068">
        <v>8978.1851000000006</v>
      </c>
    </row>
    <row r="1069" spans="1:7" x14ac:dyDescent="0.25">
      <c r="A1069">
        <v>39</v>
      </c>
      <c r="B1069" t="s">
        <v>10</v>
      </c>
      <c r="C1069">
        <v>42.655000000000001</v>
      </c>
      <c r="D1069">
        <v>0</v>
      </c>
      <c r="E1069" t="s">
        <v>11</v>
      </c>
      <c r="F1069" t="s">
        <v>14</v>
      </c>
      <c r="G1069">
        <v>5757.41345</v>
      </c>
    </row>
    <row r="1070" spans="1:7" x14ac:dyDescent="0.25">
      <c r="A1070">
        <v>63</v>
      </c>
      <c r="B1070" t="s">
        <v>10</v>
      </c>
      <c r="C1070">
        <v>21.66</v>
      </c>
      <c r="D1070">
        <v>1</v>
      </c>
      <c r="E1070" t="s">
        <v>11</v>
      </c>
      <c r="F1070" t="s">
        <v>13</v>
      </c>
      <c r="G1070">
        <v>14349.8544</v>
      </c>
    </row>
    <row r="1071" spans="1:7" x14ac:dyDescent="0.25">
      <c r="A1071">
        <v>54</v>
      </c>
      <c r="B1071" t="s">
        <v>7</v>
      </c>
      <c r="C1071">
        <v>31.9</v>
      </c>
      <c r="D1071">
        <v>1</v>
      </c>
      <c r="E1071" t="s">
        <v>11</v>
      </c>
      <c r="F1071" t="s">
        <v>12</v>
      </c>
      <c r="G1071">
        <v>10928.849</v>
      </c>
    </row>
    <row r="1072" spans="1:7" x14ac:dyDescent="0.25">
      <c r="A1072">
        <v>37</v>
      </c>
      <c r="B1072" t="s">
        <v>10</v>
      </c>
      <c r="C1072">
        <v>37.07</v>
      </c>
      <c r="D1072">
        <v>1</v>
      </c>
      <c r="E1072" t="s">
        <v>8</v>
      </c>
      <c r="F1072" t="s">
        <v>12</v>
      </c>
      <c r="G1072">
        <v>39871.704299999998</v>
      </c>
    </row>
    <row r="1073" spans="1:7" x14ac:dyDescent="0.25">
      <c r="A1073">
        <v>63</v>
      </c>
      <c r="B1073" t="s">
        <v>10</v>
      </c>
      <c r="C1073">
        <v>31.445</v>
      </c>
      <c r="D1073">
        <v>0</v>
      </c>
      <c r="E1073" t="s">
        <v>11</v>
      </c>
      <c r="F1073" t="s">
        <v>14</v>
      </c>
      <c r="G1073">
        <v>13974.455550000001</v>
      </c>
    </row>
    <row r="1074" spans="1:7" x14ac:dyDescent="0.25">
      <c r="A1074">
        <v>21</v>
      </c>
      <c r="B1074" t="s">
        <v>10</v>
      </c>
      <c r="C1074">
        <v>31.254999999999999</v>
      </c>
      <c r="D1074">
        <v>0</v>
      </c>
      <c r="E1074" t="s">
        <v>11</v>
      </c>
      <c r="F1074" t="s">
        <v>13</v>
      </c>
      <c r="G1074">
        <v>1909.52745</v>
      </c>
    </row>
    <row r="1075" spans="1:7" x14ac:dyDescent="0.25">
      <c r="A1075">
        <v>54</v>
      </c>
      <c r="B1075" t="s">
        <v>7</v>
      </c>
      <c r="C1075">
        <v>28.88</v>
      </c>
      <c r="D1075">
        <v>2</v>
      </c>
      <c r="E1075" t="s">
        <v>11</v>
      </c>
      <c r="F1075" t="s">
        <v>14</v>
      </c>
      <c r="G1075">
        <v>12096.6512</v>
      </c>
    </row>
    <row r="1076" spans="1:7" x14ac:dyDescent="0.25">
      <c r="A1076">
        <v>60</v>
      </c>
      <c r="B1076" t="s">
        <v>7</v>
      </c>
      <c r="C1076">
        <v>18.335000000000001</v>
      </c>
      <c r="D1076">
        <v>0</v>
      </c>
      <c r="E1076" t="s">
        <v>11</v>
      </c>
      <c r="F1076" t="s">
        <v>14</v>
      </c>
      <c r="G1076">
        <v>13204.28565</v>
      </c>
    </row>
    <row r="1077" spans="1:7" x14ac:dyDescent="0.25">
      <c r="A1077">
        <v>32</v>
      </c>
      <c r="B1077" t="s">
        <v>7</v>
      </c>
      <c r="C1077">
        <v>29.59</v>
      </c>
      <c r="D1077">
        <v>1</v>
      </c>
      <c r="E1077" t="s">
        <v>11</v>
      </c>
      <c r="F1077" t="s">
        <v>12</v>
      </c>
      <c r="G1077">
        <v>4562.8420999999998</v>
      </c>
    </row>
    <row r="1078" spans="1:7" x14ac:dyDescent="0.25">
      <c r="A1078">
        <v>47</v>
      </c>
      <c r="B1078" t="s">
        <v>7</v>
      </c>
      <c r="C1078">
        <v>32</v>
      </c>
      <c r="D1078">
        <v>1</v>
      </c>
      <c r="E1078" t="s">
        <v>11</v>
      </c>
      <c r="F1078" t="s">
        <v>9</v>
      </c>
      <c r="G1078">
        <v>8551.3469999999998</v>
      </c>
    </row>
    <row r="1079" spans="1:7" x14ac:dyDescent="0.25">
      <c r="A1079">
        <v>21</v>
      </c>
      <c r="B1079" t="s">
        <v>10</v>
      </c>
      <c r="C1079">
        <v>26.03</v>
      </c>
      <c r="D1079">
        <v>0</v>
      </c>
      <c r="E1079" t="s">
        <v>11</v>
      </c>
      <c r="F1079" t="s">
        <v>14</v>
      </c>
      <c r="G1079">
        <v>2102.2647000000002</v>
      </c>
    </row>
    <row r="1080" spans="1:7" x14ac:dyDescent="0.25">
      <c r="A1080">
        <v>28</v>
      </c>
      <c r="B1080" t="s">
        <v>10</v>
      </c>
      <c r="C1080">
        <v>31.68</v>
      </c>
      <c r="D1080">
        <v>0</v>
      </c>
      <c r="E1080" t="s">
        <v>8</v>
      </c>
      <c r="F1080" t="s">
        <v>12</v>
      </c>
      <c r="G1080">
        <v>34672.147199999999</v>
      </c>
    </row>
    <row r="1081" spans="1:7" x14ac:dyDescent="0.25">
      <c r="A1081">
        <v>63</v>
      </c>
      <c r="B1081" t="s">
        <v>10</v>
      </c>
      <c r="C1081">
        <v>33.659999999999997</v>
      </c>
      <c r="D1081">
        <v>3</v>
      </c>
      <c r="E1081" t="s">
        <v>11</v>
      </c>
      <c r="F1081" t="s">
        <v>12</v>
      </c>
      <c r="G1081">
        <v>15161.5344</v>
      </c>
    </row>
    <row r="1082" spans="1:7" x14ac:dyDescent="0.25">
      <c r="A1082">
        <v>18</v>
      </c>
      <c r="B1082" t="s">
        <v>10</v>
      </c>
      <c r="C1082">
        <v>21.78</v>
      </c>
      <c r="D1082">
        <v>2</v>
      </c>
      <c r="E1082" t="s">
        <v>11</v>
      </c>
      <c r="F1082" t="s">
        <v>12</v>
      </c>
      <c r="G1082">
        <v>11884.048580000001</v>
      </c>
    </row>
    <row r="1083" spans="1:7" x14ac:dyDescent="0.25">
      <c r="A1083">
        <v>32</v>
      </c>
      <c r="B1083" t="s">
        <v>10</v>
      </c>
      <c r="C1083">
        <v>27.835000000000001</v>
      </c>
      <c r="D1083">
        <v>1</v>
      </c>
      <c r="E1083" t="s">
        <v>11</v>
      </c>
      <c r="F1083" t="s">
        <v>13</v>
      </c>
      <c r="G1083">
        <v>4454.40265</v>
      </c>
    </row>
    <row r="1084" spans="1:7" x14ac:dyDescent="0.25">
      <c r="A1084">
        <v>38</v>
      </c>
      <c r="B1084" t="s">
        <v>10</v>
      </c>
      <c r="C1084">
        <v>19.95</v>
      </c>
      <c r="D1084">
        <v>1</v>
      </c>
      <c r="E1084" t="s">
        <v>11</v>
      </c>
      <c r="F1084" t="s">
        <v>13</v>
      </c>
      <c r="G1084">
        <v>5855.9025000000001</v>
      </c>
    </row>
    <row r="1085" spans="1:7" x14ac:dyDescent="0.25">
      <c r="A1085">
        <v>32</v>
      </c>
      <c r="B1085" t="s">
        <v>10</v>
      </c>
      <c r="C1085">
        <v>31.5</v>
      </c>
      <c r="D1085">
        <v>1</v>
      </c>
      <c r="E1085" t="s">
        <v>11</v>
      </c>
      <c r="F1085" t="s">
        <v>9</v>
      </c>
      <c r="G1085">
        <v>4076.4969999999998</v>
      </c>
    </row>
    <row r="1086" spans="1:7" x14ac:dyDescent="0.25">
      <c r="A1086">
        <v>62</v>
      </c>
      <c r="B1086" t="s">
        <v>7</v>
      </c>
      <c r="C1086">
        <v>30.495000000000001</v>
      </c>
      <c r="D1086">
        <v>2</v>
      </c>
      <c r="E1086" t="s">
        <v>11</v>
      </c>
      <c r="F1086" t="s">
        <v>13</v>
      </c>
      <c r="G1086">
        <v>15019.760050000001</v>
      </c>
    </row>
    <row r="1087" spans="1:7" x14ac:dyDescent="0.25">
      <c r="A1087">
        <v>39</v>
      </c>
      <c r="B1087" t="s">
        <v>7</v>
      </c>
      <c r="C1087">
        <v>18.3</v>
      </c>
      <c r="D1087">
        <v>5</v>
      </c>
      <c r="E1087" t="s">
        <v>8</v>
      </c>
      <c r="F1087" t="s">
        <v>9</v>
      </c>
      <c r="G1087">
        <v>19023.259999999998</v>
      </c>
    </row>
    <row r="1088" spans="1:7" x14ac:dyDescent="0.25">
      <c r="A1088">
        <v>55</v>
      </c>
      <c r="B1088" t="s">
        <v>10</v>
      </c>
      <c r="C1088">
        <v>28.975000000000001</v>
      </c>
      <c r="D1088">
        <v>0</v>
      </c>
      <c r="E1088" t="s">
        <v>11</v>
      </c>
      <c r="F1088" t="s">
        <v>14</v>
      </c>
      <c r="G1088">
        <v>10796.35025</v>
      </c>
    </row>
    <row r="1089" spans="1:7" x14ac:dyDescent="0.25">
      <c r="A1089">
        <v>57</v>
      </c>
      <c r="B1089" t="s">
        <v>10</v>
      </c>
      <c r="C1089">
        <v>31.54</v>
      </c>
      <c r="D1089">
        <v>0</v>
      </c>
      <c r="E1089" t="s">
        <v>11</v>
      </c>
      <c r="F1089" t="s">
        <v>13</v>
      </c>
      <c r="G1089">
        <v>11353.2276</v>
      </c>
    </row>
    <row r="1090" spans="1:7" x14ac:dyDescent="0.25">
      <c r="A1090">
        <v>52</v>
      </c>
      <c r="B1090" t="s">
        <v>10</v>
      </c>
      <c r="C1090">
        <v>47.74</v>
      </c>
      <c r="D1090">
        <v>1</v>
      </c>
      <c r="E1090" t="s">
        <v>11</v>
      </c>
      <c r="F1090" t="s">
        <v>12</v>
      </c>
      <c r="G1090">
        <v>9748.9105999999992</v>
      </c>
    </row>
    <row r="1091" spans="1:7" x14ac:dyDescent="0.25">
      <c r="A1091">
        <v>56</v>
      </c>
      <c r="B1091" t="s">
        <v>10</v>
      </c>
      <c r="C1091">
        <v>22.1</v>
      </c>
      <c r="D1091">
        <v>0</v>
      </c>
      <c r="E1091" t="s">
        <v>11</v>
      </c>
      <c r="F1091" t="s">
        <v>9</v>
      </c>
      <c r="G1091">
        <v>10577.087</v>
      </c>
    </row>
    <row r="1092" spans="1:7" x14ac:dyDescent="0.25">
      <c r="A1092">
        <v>47</v>
      </c>
      <c r="B1092" t="s">
        <v>10</v>
      </c>
      <c r="C1092">
        <v>36.19</v>
      </c>
      <c r="D1092">
        <v>0</v>
      </c>
      <c r="E1092" t="s">
        <v>8</v>
      </c>
      <c r="F1092" t="s">
        <v>12</v>
      </c>
      <c r="G1092">
        <v>41676.081100000003</v>
      </c>
    </row>
    <row r="1093" spans="1:7" x14ac:dyDescent="0.25">
      <c r="A1093">
        <v>55</v>
      </c>
      <c r="B1093" t="s">
        <v>7</v>
      </c>
      <c r="C1093">
        <v>29.83</v>
      </c>
      <c r="D1093">
        <v>0</v>
      </c>
      <c r="E1093" t="s">
        <v>11</v>
      </c>
      <c r="F1093" t="s">
        <v>14</v>
      </c>
      <c r="G1093">
        <v>11286.538699999999</v>
      </c>
    </row>
    <row r="1094" spans="1:7" x14ac:dyDescent="0.25">
      <c r="A1094">
        <v>23</v>
      </c>
      <c r="B1094" t="s">
        <v>10</v>
      </c>
      <c r="C1094">
        <v>32.700000000000003</v>
      </c>
      <c r="D1094">
        <v>3</v>
      </c>
      <c r="E1094" t="s">
        <v>11</v>
      </c>
      <c r="F1094" t="s">
        <v>9</v>
      </c>
      <c r="G1094">
        <v>3591.48</v>
      </c>
    </row>
    <row r="1095" spans="1:7" x14ac:dyDescent="0.25">
      <c r="A1095">
        <v>22</v>
      </c>
      <c r="B1095" t="s">
        <v>7</v>
      </c>
      <c r="C1095">
        <v>30.4</v>
      </c>
      <c r="D1095">
        <v>0</v>
      </c>
      <c r="E1095" t="s">
        <v>8</v>
      </c>
      <c r="F1095" t="s">
        <v>13</v>
      </c>
      <c r="G1095">
        <v>33907.548000000003</v>
      </c>
    </row>
    <row r="1096" spans="1:7" x14ac:dyDescent="0.25">
      <c r="A1096">
        <v>50</v>
      </c>
      <c r="B1096" t="s">
        <v>7</v>
      </c>
      <c r="C1096">
        <v>33.700000000000003</v>
      </c>
      <c r="D1096">
        <v>4</v>
      </c>
      <c r="E1096" t="s">
        <v>11</v>
      </c>
      <c r="F1096" t="s">
        <v>9</v>
      </c>
      <c r="G1096">
        <v>11299.343000000001</v>
      </c>
    </row>
    <row r="1097" spans="1:7" x14ac:dyDescent="0.25">
      <c r="A1097">
        <v>18</v>
      </c>
      <c r="B1097" t="s">
        <v>7</v>
      </c>
      <c r="C1097">
        <v>31.35</v>
      </c>
      <c r="D1097">
        <v>4</v>
      </c>
      <c r="E1097" t="s">
        <v>11</v>
      </c>
      <c r="F1097" t="s">
        <v>14</v>
      </c>
      <c r="G1097">
        <v>4561.1885000000002</v>
      </c>
    </row>
    <row r="1098" spans="1:7" x14ac:dyDescent="0.25">
      <c r="A1098">
        <v>51</v>
      </c>
      <c r="B1098" t="s">
        <v>7</v>
      </c>
      <c r="C1098">
        <v>34.96</v>
      </c>
      <c r="D1098">
        <v>2</v>
      </c>
      <c r="E1098" t="s">
        <v>8</v>
      </c>
      <c r="F1098" t="s">
        <v>14</v>
      </c>
      <c r="G1098">
        <v>44641.197399999997</v>
      </c>
    </row>
    <row r="1099" spans="1:7" x14ac:dyDescent="0.25">
      <c r="A1099">
        <v>22</v>
      </c>
      <c r="B1099" t="s">
        <v>10</v>
      </c>
      <c r="C1099">
        <v>33.770000000000003</v>
      </c>
      <c r="D1099">
        <v>0</v>
      </c>
      <c r="E1099" t="s">
        <v>11</v>
      </c>
      <c r="F1099" t="s">
        <v>12</v>
      </c>
      <c r="G1099">
        <v>1674.6323</v>
      </c>
    </row>
    <row r="1100" spans="1:7" x14ac:dyDescent="0.25">
      <c r="A1100">
        <v>52</v>
      </c>
      <c r="B1100" t="s">
        <v>7</v>
      </c>
      <c r="C1100">
        <v>30.875</v>
      </c>
      <c r="D1100">
        <v>0</v>
      </c>
      <c r="E1100" t="s">
        <v>11</v>
      </c>
      <c r="F1100" t="s">
        <v>14</v>
      </c>
      <c r="G1100">
        <v>23045.566159999998</v>
      </c>
    </row>
    <row r="1101" spans="1:7" x14ac:dyDescent="0.25">
      <c r="A1101">
        <v>25</v>
      </c>
      <c r="B1101" t="s">
        <v>7</v>
      </c>
      <c r="C1101">
        <v>33.99</v>
      </c>
      <c r="D1101">
        <v>1</v>
      </c>
      <c r="E1101" t="s">
        <v>11</v>
      </c>
      <c r="F1101" t="s">
        <v>12</v>
      </c>
      <c r="G1101">
        <v>3227.1210999999998</v>
      </c>
    </row>
    <row r="1102" spans="1:7" x14ac:dyDescent="0.25">
      <c r="A1102">
        <v>33</v>
      </c>
      <c r="B1102" t="s">
        <v>7</v>
      </c>
      <c r="C1102">
        <v>19.094999999999999</v>
      </c>
      <c r="D1102">
        <v>2</v>
      </c>
      <c r="E1102" t="s">
        <v>8</v>
      </c>
      <c r="F1102" t="s">
        <v>14</v>
      </c>
      <c r="G1102">
        <v>16776.304049999999</v>
      </c>
    </row>
    <row r="1103" spans="1:7" x14ac:dyDescent="0.25">
      <c r="A1103">
        <v>53</v>
      </c>
      <c r="B1103" t="s">
        <v>10</v>
      </c>
      <c r="C1103">
        <v>28.6</v>
      </c>
      <c r="D1103">
        <v>3</v>
      </c>
      <c r="E1103" t="s">
        <v>11</v>
      </c>
      <c r="F1103" t="s">
        <v>9</v>
      </c>
      <c r="G1103">
        <v>11253.421</v>
      </c>
    </row>
    <row r="1104" spans="1:7" x14ac:dyDescent="0.25">
      <c r="A1104">
        <v>29</v>
      </c>
      <c r="B1104" t="s">
        <v>10</v>
      </c>
      <c r="C1104">
        <v>38.94</v>
      </c>
      <c r="D1104">
        <v>1</v>
      </c>
      <c r="E1104" t="s">
        <v>11</v>
      </c>
      <c r="F1104" t="s">
        <v>12</v>
      </c>
      <c r="G1104">
        <v>3471.4096</v>
      </c>
    </row>
    <row r="1105" spans="1:7" x14ac:dyDescent="0.25">
      <c r="A1105">
        <v>58</v>
      </c>
      <c r="B1105" t="s">
        <v>10</v>
      </c>
      <c r="C1105">
        <v>36.08</v>
      </c>
      <c r="D1105">
        <v>0</v>
      </c>
      <c r="E1105" t="s">
        <v>11</v>
      </c>
      <c r="F1105" t="s">
        <v>12</v>
      </c>
      <c r="G1105">
        <v>11363.2832</v>
      </c>
    </row>
    <row r="1106" spans="1:7" x14ac:dyDescent="0.25">
      <c r="A1106">
        <v>37</v>
      </c>
      <c r="B1106" t="s">
        <v>10</v>
      </c>
      <c r="C1106">
        <v>29.8</v>
      </c>
      <c r="D1106">
        <v>0</v>
      </c>
      <c r="E1106" t="s">
        <v>11</v>
      </c>
      <c r="F1106" t="s">
        <v>9</v>
      </c>
      <c r="G1106">
        <v>20420.604650000001</v>
      </c>
    </row>
    <row r="1107" spans="1:7" x14ac:dyDescent="0.25">
      <c r="A1107">
        <v>54</v>
      </c>
      <c r="B1107" t="s">
        <v>7</v>
      </c>
      <c r="C1107">
        <v>31.24</v>
      </c>
      <c r="D1107">
        <v>0</v>
      </c>
      <c r="E1107" t="s">
        <v>11</v>
      </c>
      <c r="F1107" t="s">
        <v>12</v>
      </c>
      <c r="G1107">
        <v>10338.9316</v>
      </c>
    </row>
    <row r="1108" spans="1:7" x14ac:dyDescent="0.25">
      <c r="A1108">
        <v>49</v>
      </c>
      <c r="B1108" t="s">
        <v>7</v>
      </c>
      <c r="C1108">
        <v>29.925000000000001</v>
      </c>
      <c r="D1108">
        <v>0</v>
      </c>
      <c r="E1108" t="s">
        <v>11</v>
      </c>
      <c r="F1108" t="s">
        <v>13</v>
      </c>
      <c r="G1108">
        <v>8988.1587500000005</v>
      </c>
    </row>
    <row r="1109" spans="1:7" x14ac:dyDescent="0.25">
      <c r="A1109">
        <v>50</v>
      </c>
      <c r="B1109" t="s">
        <v>7</v>
      </c>
      <c r="C1109">
        <v>26.22</v>
      </c>
      <c r="D1109">
        <v>2</v>
      </c>
      <c r="E1109" t="s">
        <v>11</v>
      </c>
      <c r="F1109" t="s">
        <v>13</v>
      </c>
      <c r="G1109">
        <v>10493.9458</v>
      </c>
    </row>
    <row r="1110" spans="1:7" x14ac:dyDescent="0.25">
      <c r="A1110">
        <v>26</v>
      </c>
      <c r="B1110" t="s">
        <v>10</v>
      </c>
      <c r="C1110">
        <v>30</v>
      </c>
      <c r="D1110">
        <v>1</v>
      </c>
      <c r="E1110" t="s">
        <v>11</v>
      </c>
      <c r="F1110" t="s">
        <v>9</v>
      </c>
      <c r="G1110">
        <v>2904.0880000000002</v>
      </c>
    </row>
    <row r="1111" spans="1:7" x14ac:dyDescent="0.25">
      <c r="A1111">
        <v>45</v>
      </c>
      <c r="B1111" t="s">
        <v>10</v>
      </c>
      <c r="C1111">
        <v>20.350000000000001</v>
      </c>
      <c r="D1111">
        <v>3</v>
      </c>
      <c r="E1111" t="s">
        <v>11</v>
      </c>
      <c r="F1111" t="s">
        <v>12</v>
      </c>
      <c r="G1111">
        <v>8605.3615000000009</v>
      </c>
    </row>
    <row r="1112" spans="1:7" x14ac:dyDescent="0.25">
      <c r="A1112">
        <v>54</v>
      </c>
      <c r="B1112" t="s">
        <v>7</v>
      </c>
      <c r="C1112">
        <v>32.299999999999997</v>
      </c>
      <c r="D1112">
        <v>1</v>
      </c>
      <c r="E1112" t="s">
        <v>11</v>
      </c>
      <c r="F1112" t="s">
        <v>14</v>
      </c>
      <c r="G1112">
        <v>11512.405000000001</v>
      </c>
    </row>
    <row r="1113" spans="1:7" x14ac:dyDescent="0.25">
      <c r="A1113">
        <v>38</v>
      </c>
      <c r="B1113" t="s">
        <v>10</v>
      </c>
      <c r="C1113">
        <v>38.39</v>
      </c>
      <c r="D1113">
        <v>3</v>
      </c>
      <c r="E1113" t="s">
        <v>8</v>
      </c>
      <c r="F1113" t="s">
        <v>12</v>
      </c>
      <c r="G1113">
        <v>41949.244100000004</v>
      </c>
    </row>
    <row r="1114" spans="1:7" x14ac:dyDescent="0.25">
      <c r="A1114">
        <v>48</v>
      </c>
      <c r="B1114" t="s">
        <v>7</v>
      </c>
      <c r="C1114">
        <v>25.85</v>
      </c>
      <c r="D1114">
        <v>3</v>
      </c>
      <c r="E1114" t="s">
        <v>8</v>
      </c>
      <c r="F1114" t="s">
        <v>12</v>
      </c>
      <c r="G1114">
        <v>24180.933499999999</v>
      </c>
    </row>
    <row r="1115" spans="1:7" x14ac:dyDescent="0.25">
      <c r="A1115">
        <v>28</v>
      </c>
      <c r="B1115" t="s">
        <v>7</v>
      </c>
      <c r="C1115">
        <v>26.315000000000001</v>
      </c>
      <c r="D1115">
        <v>3</v>
      </c>
      <c r="E1115" t="s">
        <v>11</v>
      </c>
      <c r="F1115" t="s">
        <v>13</v>
      </c>
      <c r="G1115">
        <v>5312.1698500000002</v>
      </c>
    </row>
    <row r="1116" spans="1:7" x14ac:dyDescent="0.25">
      <c r="A1116">
        <v>23</v>
      </c>
      <c r="B1116" t="s">
        <v>10</v>
      </c>
      <c r="C1116">
        <v>24.51</v>
      </c>
      <c r="D1116">
        <v>0</v>
      </c>
      <c r="E1116" t="s">
        <v>11</v>
      </c>
      <c r="F1116" t="s">
        <v>14</v>
      </c>
      <c r="G1116">
        <v>2396.0958999999998</v>
      </c>
    </row>
    <row r="1117" spans="1:7" x14ac:dyDescent="0.25">
      <c r="A1117">
        <v>55</v>
      </c>
      <c r="B1117" t="s">
        <v>10</v>
      </c>
      <c r="C1117">
        <v>32.67</v>
      </c>
      <c r="D1117">
        <v>1</v>
      </c>
      <c r="E1117" t="s">
        <v>11</v>
      </c>
      <c r="F1117" t="s">
        <v>12</v>
      </c>
      <c r="G1117">
        <v>10807.4863</v>
      </c>
    </row>
    <row r="1118" spans="1:7" x14ac:dyDescent="0.25">
      <c r="A1118">
        <v>41</v>
      </c>
      <c r="B1118" t="s">
        <v>10</v>
      </c>
      <c r="C1118">
        <v>29.64</v>
      </c>
      <c r="D1118">
        <v>5</v>
      </c>
      <c r="E1118" t="s">
        <v>11</v>
      </c>
      <c r="F1118" t="s">
        <v>14</v>
      </c>
      <c r="G1118">
        <v>9222.4025999999994</v>
      </c>
    </row>
    <row r="1119" spans="1:7" x14ac:dyDescent="0.25">
      <c r="A1119">
        <v>25</v>
      </c>
      <c r="B1119" t="s">
        <v>10</v>
      </c>
      <c r="C1119">
        <v>33.33</v>
      </c>
      <c r="D1119">
        <v>2</v>
      </c>
      <c r="E1119" t="s">
        <v>8</v>
      </c>
      <c r="F1119" t="s">
        <v>12</v>
      </c>
      <c r="G1119">
        <v>36124.573700000001</v>
      </c>
    </row>
    <row r="1120" spans="1:7" x14ac:dyDescent="0.25">
      <c r="A1120">
        <v>33</v>
      </c>
      <c r="B1120" t="s">
        <v>10</v>
      </c>
      <c r="C1120">
        <v>35.75</v>
      </c>
      <c r="D1120">
        <v>1</v>
      </c>
      <c r="E1120" t="s">
        <v>8</v>
      </c>
      <c r="F1120" t="s">
        <v>12</v>
      </c>
      <c r="G1120">
        <v>38282.749499999998</v>
      </c>
    </row>
    <row r="1121" spans="1:7" x14ac:dyDescent="0.25">
      <c r="A1121">
        <v>30</v>
      </c>
      <c r="B1121" t="s">
        <v>7</v>
      </c>
      <c r="C1121">
        <v>19.95</v>
      </c>
      <c r="D1121">
        <v>3</v>
      </c>
      <c r="E1121" t="s">
        <v>11</v>
      </c>
      <c r="F1121" t="s">
        <v>13</v>
      </c>
      <c r="G1121">
        <v>5693.4305000000004</v>
      </c>
    </row>
    <row r="1122" spans="1:7" x14ac:dyDescent="0.25">
      <c r="A1122">
        <v>23</v>
      </c>
      <c r="B1122" t="s">
        <v>7</v>
      </c>
      <c r="C1122">
        <v>31.4</v>
      </c>
      <c r="D1122">
        <v>0</v>
      </c>
      <c r="E1122" t="s">
        <v>8</v>
      </c>
      <c r="F1122" t="s">
        <v>9</v>
      </c>
      <c r="G1122">
        <v>34166.273000000001</v>
      </c>
    </row>
    <row r="1123" spans="1:7" x14ac:dyDescent="0.25">
      <c r="A1123">
        <v>46</v>
      </c>
      <c r="B1123" t="s">
        <v>10</v>
      </c>
      <c r="C1123">
        <v>38.17</v>
      </c>
      <c r="D1123">
        <v>2</v>
      </c>
      <c r="E1123" t="s">
        <v>11</v>
      </c>
      <c r="F1123" t="s">
        <v>12</v>
      </c>
      <c r="G1123">
        <v>8347.1643000000004</v>
      </c>
    </row>
    <row r="1124" spans="1:7" x14ac:dyDescent="0.25">
      <c r="A1124">
        <v>53</v>
      </c>
      <c r="B1124" t="s">
        <v>7</v>
      </c>
      <c r="C1124">
        <v>36.86</v>
      </c>
      <c r="D1124">
        <v>3</v>
      </c>
      <c r="E1124" t="s">
        <v>8</v>
      </c>
      <c r="F1124" t="s">
        <v>13</v>
      </c>
      <c r="G1124">
        <v>46661.4424</v>
      </c>
    </row>
    <row r="1125" spans="1:7" x14ac:dyDescent="0.25">
      <c r="A1125">
        <v>27</v>
      </c>
      <c r="B1125" t="s">
        <v>7</v>
      </c>
      <c r="C1125">
        <v>32.395000000000003</v>
      </c>
      <c r="D1125">
        <v>1</v>
      </c>
      <c r="E1125" t="s">
        <v>11</v>
      </c>
      <c r="F1125" t="s">
        <v>14</v>
      </c>
      <c r="G1125">
        <v>18903.491409999999</v>
      </c>
    </row>
    <row r="1126" spans="1:7" x14ac:dyDescent="0.25">
      <c r="A1126">
        <v>23</v>
      </c>
      <c r="B1126" t="s">
        <v>7</v>
      </c>
      <c r="C1126">
        <v>42.75</v>
      </c>
      <c r="D1126">
        <v>1</v>
      </c>
      <c r="E1126" t="s">
        <v>8</v>
      </c>
      <c r="F1126" t="s">
        <v>14</v>
      </c>
      <c r="G1126">
        <v>40904.199500000002</v>
      </c>
    </row>
    <row r="1127" spans="1:7" x14ac:dyDescent="0.25">
      <c r="A1127">
        <v>63</v>
      </c>
      <c r="B1127" t="s">
        <v>7</v>
      </c>
      <c r="C1127">
        <v>25.08</v>
      </c>
      <c r="D1127">
        <v>0</v>
      </c>
      <c r="E1127" t="s">
        <v>11</v>
      </c>
      <c r="F1127" t="s">
        <v>13</v>
      </c>
      <c r="G1127">
        <v>14254.608200000001</v>
      </c>
    </row>
    <row r="1128" spans="1:7" x14ac:dyDescent="0.25">
      <c r="A1128">
        <v>55</v>
      </c>
      <c r="B1128" t="s">
        <v>10</v>
      </c>
      <c r="C1128">
        <v>29.9</v>
      </c>
      <c r="D1128">
        <v>0</v>
      </c>
      <c r="E1128" t="s">
        <v>11</v>
      </c>
      <c r="F1128" t="s">
        <v>9</v>
      </c>
      <c r="G1128">
        <v>10214.636</v>
      </c>
    </row>
    <row r="1129" spans="1:7" x14ac:dyDescent="0.25">
      <c r="A1129">
        <v>35</v>
      </c>
      <c r="B1129" t="s">
        <v>7</v>
      </c>
      <c r="C1129">
        <v>35.86</v>
      </c>
      <c r="D1129">
        <v>2</v>
      </c>
      <c r="E1129" t="s">
        <v>11</v>
      </c>
      <c r="F1129" t="s">
        <v>12</v>
      </c>
      <c r="G1129">
        <v>5836.5204000000003</v>
      </c>
    </row>
    <row r="1130" spans="1:7" x14ac:dyDescent="0.25">
      <c r="A1130">
        <v>34</v>
      </c>
      <c r="B1130" t="s">
        <v>10</v>
      </c>
      <c r="C1130">
        <v>32.799999999999997</v>
      </c>
      <c r="D1130">
        <v>1</v>
      </c>
      <c r="E1130" t="s">
        <v>11</v>
      </c>
      <c r="F1130" t="s">
        <v>9</v>
      </c>
      <c r="G1130">
        <v>14358.364369999999</v>
      </c>
    </row>
    <row r="1131" spans="1:7" x14ac:dyDescent="0.25">
      <c r="A1131">
        <v>19</v>
      </c>
      <c r="B1131" t="s">
        <v>7</v>
      </c>
      <c r="C1131">
        <v>18.600000000000001</v>
      </c>
      <c r="D1131">
        <v>0</v>
      </c>
      <c r="E1131" t="s">
        <v>11</v>
      </c>
      <c r="F1131" t="s">
        <v>9</v>
      </c>
      <c r="G1131">
        <v>1728.8969999999999</v>
      </c>
    </row>
    <row r="1132" spans="1:7" x14ac:dyDescent="0.25">
      <c r="A1132">
        <v>39</v>
      </c>
      <c r="B1132" t="s">
        <v>7</v>
      </c>
      <c r="C1132">
        <v>23.87</v>
      </c>
      <c r="D1132">
        <v>5</v>
      </c>
      <c r="E1132" t="s">
        <v>11</v>
      </c>
      <c r="F1132" t="s">
        <v>12</v>
      </c>
      <c r="G1132">
        <v>8582.3022999999994</v>
      </c>
    </row>
    <row r="1133" spans="1:7" x14ac:dyDescent="0.25">
      <c r="A1133">
        <v>27</v>
      </c>
      <c r="B1133" t="s">
        <v>10</v>
      </c>
      <c r="C1133">
        <v>45.9</v>
      </c>
      <c r="D1133">
        <v>2</v>
      </c>
      <c r="E1133" t="s">
        <v>11</v>
      </c>
      <c r="F1133" t="s">
        <v>9</v>
      </c>
      <c r="G1133">
        <v>3693.4279999999999</v>
      </c>
    </row>
    <row r="1134" spans="1:7" x14ac:dyDescent="0.25">
      <c r="A1134">
        <v>57</v>
      </c>
      <c r="B1134" t="s">
        <v>10</v>
      </c>
      <c r="C1134">
        <v>40.28</v>
      </c>
      <c r="D1134">
        <v>0</v>
      </c>
      <c r="E1134" t="s">
        <v>11</v>
      </c>
      <c r="F1134" t="s">
        <v>14</v>
      </c>
      <c r="G1134">
        <v>20709.020339999999</v>
      </c>
    </row>
    <row r="1135" spans="1:7" x14ac:dyDescent="0.25">
      <c r="A1135">
        <v>52</v>
      </c>
      <c r="B1135" t="s">
        <v>7</v>
      </c>
      <c r="C1135">
        <v>18.335000000000001</v>
      </c>
      <c r="D1135">
        <v>0</v>
      </c>
      <c r="E1135" t="s">
        <v>11</v>
      </c>
      <c r="F1135" t="s">
        <v>13</v>
      </c>
      <c r="G1135">
        <v>9991.0376500000002</v>
      </c>
    </row>
    <row r="1136" spans="1:7" x14ac:dyDescent="0.25">
      <c r="A1136">
        <v>28</v>
      </c>
      <c r="B1136" t="s">
        <v>10</v>
      </c>
      <c r="C1136">
        <v>33.82</v>
      </c>
      <c r="D1136">
        <v>0</v>
      </c>
      <c r="E1136" t="s">
        <v>11</v>
      </c>
      <c r="F1136" t="s">
        <v>13</v>
      </c>
      <c r="G1136">
        <v>19673.335729999999</v>
      </c>
    </row>
    <row r="1137" spans="1:7" x14ac:dyDescent="0.25">
      <c r="A1137">
        <v>50</v>
      </c>
      <c r="B1137" t="s">
        <v>7</v>
      </c>
      <c r="C1137">
        <v>28.12</v>
      </c>
      <c r="D1137">
        <v>3</v>
      </c>
      <c r="E1137" t="s">
        <v>11</v>
      </c>
      <c r="F1137" t="s">
        <v>13</v>
      </c>
      <c r="G1137">
        <v>11085.586799999999</v>
      </c>
    </row>
    <row r="1138" spans="1:7" x14ac:dyDescent="0.25">
      <c r="A1138">
        <v>44</v>
      </c>
      <c r="B1138" t="s">
        <v>7</v>
      </c>
      <c r="C1138">
        <v>25</v>
      </c>
      <c r="D1138">
        <v>1</v>
      </c>
      <c r="E1138" t="s">
        <v>11</v>
      </c>
      <c r="F1138" t="s">
        <v>9</v>
      </c>
      <c r="G1138">
        <v>7623.518</v>
      </c>
    </row>
    <row r="1139" spans="1:7" x14ac:dyDescent="0.25">
      <c r="A1139">
        <v>26</v>
      </c>
      <c r="B1139" t="s">
        <v>7</v>
      </c>
      <c r="C1139">
        <v>22.23</v>
      </c>
      <c r="D1139">
        <v>0</v>
      </c>
      <c r="E1139" t="s">
        <v>11</v>
      </c>
      <c r="F1139" t="s">
        <v>13</v>
      </c>
      <c r="G1139">
        <v>3176.2876999999999</v>
      </c>
    </row>
    <row r="1140" spans="1:7" x14ac:dyDescent="0.25">
      <c r="A1140">
        <v>33</v>
      </c>
      <c r="B1140" t="s">
        <v>10</v>
      </c>
      <c r="C1140">
        <v>30.25</v>
      </c>
      <c r="D1140">
        <v>0</v>
      </c>
      <c r="E1140" t="s">
        <v>11</v>
      </c>
      <c r="F1140" t="s">
        <v>12</v>
      </c>
      <c r="G1140">
        <v>3704.3544999999999</v>
      </c>
    </row>
    <row r="1141" spans="1:7" x14ac:dyDescent="0.25">
      <c r="A1141">
        <v>19</v>
      </c>
      <c r="B1141" t="s">
        <v>7</v>
      </c>
      <c r="C1141">
        <v>32.49</v>
      </c>
      <c r="D1141">
        <v>0</v>
      </c>
      <c r="E1141" t="s">
        <v>8</v>
      </c>
      <c r="F1141" t="s">
        <v>13</v>
      </c>
      <c r="G1141">
        <v>36898.733079999998</v>
      </c>
    </row>
    <row r="1142" spans="1:7" x14ac:dyDescent="0.25">
      <c r="A1142">
        <v>50</v>
      </c>
      <c r="B1142" t="s">
        <v>10</v>
      </c>
      <c r="C1142">
        <v>37.07</v>
      </c>
      <c r="D1142">
        <v>1</v>
      </c>
      <c r="E1142" t="s">
        <v>11</v>
      </c>
      <c r="F1142" t="s">
        <v>12</v>
      </c>
      <c r="G1142">
        <v>9048.0272999999997</v>
      </c>
    </row>
    <row r="1143" spans="1:7" x14ac:dyDescent="0.25">
      <c r="A1143">
        <v>41</v>
      </c>
      <c r="B1143" t="s">
        <v>7</v>
      </c>
      <c r="C1143">
        <v>32.6</v>
      </c>
      <c r="D1143">
        <v>3</v>
      </c>
      <c r="E1143" t="s">
        <v>11</v>
      </c>
      <c r="F1143" t="s">
        <v>9</v>
      </c>
      <c r="G1143">
        <v>7954.5169999999998</v>
      </c>
    </row>
    <row r="1144" spans="1:7" x14ac:dyDescent="0.25">
      <c r="A1144">
        <v>52</v>
      </c>
      <c r="B1144" t="s">
        <v>7</v>
      </c>
      <c r="C1144">
        <v>24.86</v>
      </c>
      <c r="D1144">
        <v>0</v>
      </c>
      <c r="E1144" t="s">
        <v>11</v>
      </c>
      <c r="F1144" t="s">
        <v>12</v>
      </c>
      <c r="G1144">
        <v>27117.993780000001</v>
      </c>
    </row>
    <row r="1145" spans="1:7" x14ac:dyDescent="0.25">
      <c r="A1145">
        <v>39</v>
      </c>
      <c r="B1145" t="s">
        <v>10</v>
      </c>
      <c r="C1145">
        <v>32.340000000000003</v>
      </c>
      <c r="D1145">
        <v>2</v>
      </c>
      <c r="E1145" t="s">
        <v>11</v>
      </c>
      <c r="F1145" t="s">
        <v>12</v>
      </c>
      <c r="G1145">
        <v>6338.0756000000001</v>
      </c>
    </row>
    <row r="1146" spans="1:7" x14ac:dyDescent="0.25">
      <c r="A1146">
        <v>50</v>
      </c>
      <c r="B1146" t="s">
        <v>10</v>
      </c>
      <c r="C1146">
        <v>32.299999999999997</v>
      </c>
      <c r="D1146">
        <v>2</v>
      </c>
      <c r="E1146" t="s">
        <v>11</v>
      </c>
      <c r="F1146" t="s">
        <v>9</v>
      </c>
      <c r="G1146">
        <v>9630.3970000000008</v>
      </c>
    </row>
    <row r="1147" spans="1:7" x14ac:dyDescent="0.25">
      <c r="A1147">
        <v>52</v>
      </c>
      <c r="B1147" t="s">
        <v>10</v>
      </c>
      <c r="C1147">
        <v>32.774999999999999</v>
      </c>
      <c r="D1147">
        <v>3</v>
      </c>
      <c r="E1147" t="s">
        <v>11</v>
      </c>
      <c r="F1147" t="s">
        <v>13</v>
      </c>
      <c r="G1147">
        <v>11289.10925</v>
      </c>
    </row>
    <row r="1148" spans="1:7" x14ac:dyDescent="0.25">
      <c r="A1148">
        <v>60</v>
      </c>
      <c r="B1148" t="s">
        <v>10</v>
      </c>
      <c r="C1148">
        <v>32.799999999999997</v>
      </c>
      <c r="D1148">
        <v>0</v>
      </c>
      <c r="E1148" t="s">
        <v>8</v>
      </c>
      <c r="F1148" t="s">
        <v>9</v>
      </c>
      <c r="G1148">
        <v>52590.829389999999</v>
      </c>
    </row>
    <row r="1149" spans="1:7" x14ac:dyDescent="0.25">
      <c r="A1149">
        <v>20</v>
      </c>
      <c r="B1149" t="s">
        <v>7</v>
      </c>
      <c r="C1149">
        <v>31.92</v>
      </c>
      <c r="D1149">
        <v>0</v>
      </c>
      <c r="E1149" t="s">
        <v>11</v>
      </c>
      <c r="F1149" t="s">
        <v>13</v>
      </c>
      <c r="G1149">
        <v>2261.5688</v>
      </c>
    </row>
    <row r="1150" spans="1:7" x14ac:dyDescent="0.25">
      <c r="A1150">
        <v>55</v>
      </c>
      <c r="B1150" t="s">
        <v>10</v>
      </c>
      <c r="C1150">
        <v>21.5</v>
      </c>
      <c r="D1150">
        <v>1</v>
      </c>
      <c r="E1150" t="s">
        <v>11</v>
      </c>
      <c r="F1150" t="s">
        <v>9</v>
      </c>
      <c r="G1150">
        <v>10791.96</v>
      </c>
    </row>
    <row r="1151" spans="1:7" x14ac:dyDescent="0.25">
      <c r="A1151">
        <v>42</v>
      </c>
      <c r="B1151" t="s">
        <v>10</v>
      </c>
      <c r="C1151">
        <v>34.1</v>
      </c>
      <c r="D1151">
        <v>0</v>
      </c>
      <c r="E1151" t="s">
        <v>11</v>
      </c>
      <c r="F1151" t="s">
        <v>9</v>
      </c>
      <c r="G1151">
        <v>5979.7309999999998</v>
      </c>
    </row>
    <row r="1152" spans="1:7" x14ac:dyDescent="0.25">
      <c r="A1152">
        <v>18</v>
      </c>
      <c r="B1152" t="s">
        <v>7</v>
      </c>
      <c r="C1152">
        <v>30.305</v>
      </c>
      <c r="D1152">
        <v>0</v>
      </c>
      <c r="E1152" t="s">
        <v>11</v>
      </c>
      <c r="F1152" t="s">
        <v>14</v>
      </c>
      <c r="G1152">
        <v>2203.7359499999998</v>
      </c>
    </row>
    <row r="1153" spans="1:7" x14ac:dyDescent="0.25">
      <c r="A1153">
        <v>58</v>
      </c>
      <c r="B1153" t="s">
        <v>7</v>
      </c>
      <c r="C1153">
        <v>36.479999999999997</v>
      </c>
      <c r="D1153">
        <v>0</v>
      </c>
      <c r="E1153" t="s">
        <v>11</v>
      </c>
      <c r="F1153" t="s">
        <v>13</v>
      </c>
      <c r="G1153">
        <v>12235.8392</v>
      </c>
    </row>
    <row r="1154" spans="1:7" x14ac:dyDescent="0.25">
      <c r="A1154">
        <v>43</v>
      </c>
      <c r="B1154" t="s">
        <v>7</v>
      </c>
      <c r="C1154">
        <v>32.56</v>
      </c>
      <c r="D1154">
        <v>3</v>
      </c>
      <c r="E1154" t="s">
        <v>8</v>
      </c>
      <c r="F1154" t="s">
        <v>12</v>
      </c>
      <c r="G1154">
        <v>40941.285400000001</v>
      </c>
    </row>
    <row r="1155" spans="1:7" x14ac:dyDescent="0.25">
      <c r="A1155">
        <v>35</v>
      </c>
      <c r="B1155" t="s">
        <v>7</v>
      </c>
      <c r="C1155">
        <v>35.814999999999998</v>
      </c>
      <c r="D1155">
        <v>1</v>
      </c>
      <c r="E1155" t="s">
        <v>11</v>
      </c>
      <c r="F1155" t="s">
        <v>13</v>
      </c>
      <c r="G1155">
        <v>5630.4578499999998</v>
      </c>
    </row>
    <row r="1156" spans="1:7" x14ac:dyDescent="0.25">
      <c r="A1156">
        <v>48</v>
      </c>
      <c r="B1156" t="s">
        <v>7</v>
      </c>
      <c r="C1156">
        <v>27.93</v>
      </c>
      <c r="D1156">
        <v>4</v>
      </c>
      <c r="E1156" t="s">
        <v>11</v>
      </c>
      <c r="F1156" t="s">
        <v>13</v>
      </c>
      <c r="G1156">
        <v>11015.1747</v>
      </c>
    </row>
    <row r="1157" spans="1:7" x14ac:dyDescent="0.25">
      <c r="A1157">
        <v>36</v>
      </c>
      <c r="B1157" t="s">
        <v>7</v>
      </c>
      <c r="C1157">
        <v>22.135000000000002</v>
      </c>
      <c r="D1157">
        <v>3</v>
      </c>
      <c r="E1157" t="s">
        <v>11</v>
      </c>
      <c r="F1157" t="s">
        <v>14</v>
      </c>
      <c r="G1157">
        <v>7228.2156500000001</v>
      </c>
    </row>
    <row r="1158" spans="1:7" x14ac:dyDescent="0.25">
      <c r="A1158">
        <v>19</v>
      </c>
      <c r="B1158" t="s">
        <v>10</v>
      </c>
      <c r="C1158">
        <v>44.88</v>
      </c>
      <c r="D1158">
        <v>0</v>
      </c>
      <c r="E1158" t="s">
        <v>8</v>
      </c>
      <c r="F1158" t="s">
        <v>12</v>
      </c>
      <c r="G1158">
        <v>39722.746200000001</v>
      </c>
    </row>
    <row r="1159" spans="1:7" x14ac:dyDescent="0.25">
      <c r="A1159">
        <v>23</v>
      </c>
      <c r="B1159" t="s">
        <v>7</v>
      </c>
      <c r="C1159">
        <v>23.18</v>
      </c>
      <c r="D1159">
        <v>2</v>
      </c>
      <c r="E1159" t="s">
        <v>11</v>
      </c>
      <c r="F1159" t="s">
        <v>13</v>
      </c>
      <c r="G1159">
        <v>14426.073850000001</v>
      </c>
    </row>
    <row r="1160" spans="1:7" x14ac:dyDescent="0.25">
      <c r="A1160">
        <v>20</v>
      </c>
      <c r="B1160" t="s">
        <v>7</v>
      </c>
      <c r="C1160">
        <v>30.59</v>
      </c>
      <c r="D1160">
        <v>0</v>
      </c>
      <c r="E1160" t="s">
        <v>11</v>
      </c>
      <c r="F1160" t="s">
        <v>14</v>
      </c>
      <c r="G1160">
        <v>2459.7201</v>
      </c>
    </row>
    <row r="1161" spans="1:7" x14ac:dyDescent="0.25">
      <c r="A1161">
        <v>32</v>
      </c>
      <c r="B1161" t="s">
        <v>7</v>
      </c>
      <c r="C1161">
        <v>41.1</v>
      </c>
      <c r="D1161">
        <v>0</v>
      </c>
      <c r="E1161" t="s">
        <v>11</v>
      </c>
      <c r="F1161" t="s">
        <v>9</v>
      </c>
      <c r="G1161">
        <v>3989.8409999999999</v>
      </c>
    </row>
    <row r="1162" spans="1:7" x14ac:dyDescent="0.25">
      <c r="A1162">
        <v>43</v>
      </c>
      <c r="B1162" t="s">
        <v>7</v>
      </c>
      <c r="C1162">
        <v>34.58</v>
      </c>
      <c r="D1162">
        <v>1</v>
      </c>
      <c r="E1162" t="s">
        <v>11</v>
      </c>
      <c r="F1162" t="s">
        <v>13</v>
      </c>
      <c r="G1162">
        <v>7727.2532000000001</v>
      </c>
    </row>
    <row r="1163" spans="1:7" x14ac:dyDescent="0.25">
      <c r="A1163">
        <v>34</v>
      </c>
      <c r="B1163" t="s">
        <v>10</v>
      </c>
      <c r="C1163">
        <v>42.13</v>
      </c>
      <c r="D1163">
        <v>2</v>
      </c>
      <c r="E1163" t="s">
        <v>11</v>
      </c>
      <c r="F1163" t="s">
        <v>12</v>
      </c>
      <c r="G1163">
        <v>5124.1886999999997</v>
      </c>
    </row>
    <row r="1164" spans="1:7" x14ac:dyDescent="0.25">
      <c r="A1164">
        <v>30</v>
      </c>
      <c r="B1164" t="s">
        <v>10</v>
      </c>
      <c r="C1164">
        <v>38.83</v>
      </c>
      <c r="D1164">
        <v>1</v>
      </c>
      <c r="E1164" t="s">
        <v>11</v>
      </c>
      <c r="F1164" t="s">
        <v>12</v>
      </c>
      <c r="G1164">
        <v>18963.171920000001</v>
      </c>
    </row>
    <row r="1165" spans="1:7" x14ac:dyDescent="0.25">
      <c r="A1165">
        <v>18</v>
      </c>
      <c r="B1165" t="s">
        <v>7</v>
      </c>
      <c r="C1165">
        <v>28.215</v>
      </c>
      <c r="D1165">
        <v>0</v>
      </c>
      <c r="E1165" t="s">
        <v>11</v>
      </c>
      <c r="F1165" t="s">
        <v>14</v>
      </c>
      <c r="G1165">
        <v>2200.8308499999998</v>
      </c>
    </row>
    <row r="1166" spans="1:7" x14ac:dyDescent="0.25">
      <c r="A1166">
        <v>41</v>
      </c>
      <c r="B1166" t="s">
        <v>7</v>
      </c>
      <c r="C1166">
        <v>28.31</v>
      </c>
      <c r="D1166">
        <v>1</v>
      </c>
      <c r="E1166" t="s">
        <v>11</v>
      </c>
      <c r="F1166" t="s">
        <v>13</v>
      </c>
      <c r="G1166">
        <v>7153.5538999999999</v>
      </c>
    </row>
    <row r="1167" spans="1:7" x14ac:dyDescent="0.25">
      <c r="A1167">
        <v>35</v>
      </c>
      <c r="B1167" t="s">
        <v>7</v>
      </c>
      <c r="C1167">
        <v>26.125</v>
      </c>
      <c r="D1167">
        <v>0</v>
      </c>
      <c r="E1167" t="s">
        <v>11</v>
      </c>
      <c r="F1167" t="s">
        <v>14</v>
      </c>
      <c r="G1167">
        <v>5227.9887500000004</v>
      </c>
    </row>
    <row r="1168" spans="1:7" x14ac:dyDescent="0.25">
      <c r="A1168">
        <v>57</v>
      </c>
      <c r="B1168" t="s">
        <v>10</v>
      </c>
      <c r="C1168">
        <v>40.369999999999997</v>
      </c>
      <c r="D1168">
        <v>0</v>
      </c>
      <c r="E1168" t="s">
        <v>11</v>
      </c>
      <c r="F1168" t="s">
        <v>12</v>
      </c>
      <c r="G1168">
        <v>10982.5013</v>
      </c>
    </row>
    <row r="1169" spans="1:7" x14ac:dyDescent="0.25">
      <c r="A1169">
        <v>29</v>
      </c>
      <c r="B1169" t="s">
        <v>7</v>
      </c>
      <c r="C1169">
        <v>24.6</v>
      </c>
      <c r="D1169">
        <v>2</v>
      </c>
      <c r="E1169" t="s">
        <v>11</v>
      </c>
      <c r="F1169" t="s">
        <v>9</v>
      </c>
      <c r="G1169">
        <v>4529.4769999999999</v>
      </c>
    </row>
    <row r="1170" spans="1:7" x14ac:dyDescent="0.25">
      <c r="A1170">
        <v>32</v>
      </c>
      <c r="B1170" t="s">
        <v>10</v>
      </c>
      <c r="C1170">
        <v>35.200000000000003</v>
      </c>
      <c r="D1170">
        <v>2</v>
      </c>
      <c r="E1170" t="s">
        <v>11</v>
      </c>
      <c r="F1170" t="s">
        <v>9</v>
      </c>
      <c r="G1170">
        <v>4670.6400000000003</v>
      </c>
    </row>
    <row r="1171" spans="1:7" x14ac:dyDescent="0.25">
      <c r="A1171">
        <v>37</v>
      </c>
      <c r="B1171" t="s">
        <v>7</v>
      </c>
      <c r="C1171">
        <v>34.104999999999997</v>
      </c>
      <c r="D1171">
        <v>1</v>
      </c>
      <c r="E1171" t="s">
        <v>11</v>
      </c>
      <c r="F1171" t="s">
        <v>13</v>
      </c>
      <c r="G1171">
        <v>6112.3529500000004</v>
      </c>
    </row>
    <row r="1172" spans="1:7" x14ac:dyDescent="0.25">
      <c r="A1172">
        <v>18</v>
      </c>
      <c r="B1172" t="s">
        <v>10</v>
      </c>
      <c r="C1172">
        <v>27.36</v>
      </c>
      <c r="D1172">
        <v>1</v>
      </c>
      <c r="E1172" t="s">
        <v>8</v>
      </c>
      <c r="F1172" t="s">
        <v>14</v>
      </c>
      <c r="G1172">
        <v>17178.682400000002</v>
      </c>
    </row>
    <row r="1173" spans="1:7" x14ac:dyDescent="0.25">
      <c r="A1173">
        <v>43</v>
      </c>
      <c r="B1173" t="s">
        <v>7</v>
      </c>
      <c r="C1173">
        <v>26.7</v>
      </c>
      <c r="D1173">
        <v>2</v>
      </c>
      <c r="E1173" t="s">
        <v>8</v>
      </c>
      <c r="F1173" t="s">
        <v>9</v>
      </c>
      <c r="G1173">
        <v>22478.6</v>
      </c>
    </row>
    <row r="1174" spans="1:7" x14ac:dyDescent="0.25">
      <c r="A1174">
        <v>56</v>
      </c>
      <c r="B1174" t="s">
        <v>7</v>
      </c>
      <c r="C1174">
        <v>41.91</v>
      </c>
      <c r="D1174">
        <v>0</v>
      </c>
      <c r="E1174" t="s">
        <v>11</v>
      </c>
      <c r="F1174" t="s">
        <v>12</v>
      </c>
      <c r="G1174">
        <v>11093.6229</v>
      </c>
    </row>
    <row r="1175" spans="1:7" x14ac:dyDescent="0.25">
      <c r="A1175">
        <v>38</v>
      </c>
      <c r="B1175" t="s">
        <v>10</v>
      </c>
      <c r="C1175">
        <v>29.26</v>
      </c>
      <c r="D1175">
        <v>2</v>
      </c>
      <c r="E1175" t="s">
        <v>11</v>
      </c>
      <c r="F1175" t="s">
        <v>13</v>
      </c>
      <c r="G1175">
        <v>6457.8433999999997</v>
      </c>
    </row>
    <row r="1176" spans="1:7" x14ac:dyDescent="0.25">
      <c r="A1176">
        <v>29</v>
      </c>
      <c r="B1176" t="s">
        <v>10</v>
      </c>
      <c r="C1176">
        <v>32.11</v>
      </c>
      <c r="D1176">
        <v>2</v>
      </c>
      <c r="E1176" t="s">
        <v>11</v>
      </c>
      <c r="F1176" t="s">
        <v>13</v>
      </c>
      <c r="G1176">
        <v>4433.9159</v>
      </c>
    </row>
    <row r="1177" spans="1:7" x14ac:dyDescent="0.25">
      <c r="A1177">
        <v>22</v>
      </c>
      <c r="B1177" t="s">
        <v>7</v>
      </c>
      <c r="C1177">
        <v>27.1</v>
      </c>
      <c r="D1177">
        <v>0</v>
      </c>
      <c r="E1177" t="s">
        <v>11</v>
      </c>
      <c r="F1177" t="s">
        <v>9</v>
      </c>
      <c r="G1177">
        <v>2154.3609999999999</v>
      </c>
    </row>
    <row r="1178" spans="1:7" x14ac:dyDescent="0.25">
      <c r="A1178">
        <v>52</v>
      </c>
      <c r="B1178" t="s">
        <v>7</v>
      </c>
      <c r="C1178">
        <v>24.13</v>
      </c>
      <c r="D1178">
        <v>1</v>
      </c>
      <c r="E1178" t="s">
        <v>8</v>
      </c>
      <c r="F1178" t="s">
        <v>13</v>
      </c>
      <c r="G1178">
        <v>23887.662700000001</v>
      </c>
    </row>
    <row r="1179" spans="1:7" x14ac:dyDescent="0.25">
      <c r="A1179">
        <v>40</v>
      </c>
      <c r="B1179" t="s">
        <v>7</v>
      </c>
      <c r="C1179">
        <v>27.4</v>
      </c>
      <c r="D1179">
        <v>1</v>
      </c>
      <c r="E1179" t="s">
        <v>11</v>
      </c>
      <c r="F1179" t="s">
        <v>9</v>
      </c>
      <c r="G1179">
        <v>6496.8860000000004</v>
      </c>
    </row>
    <row r="1180" spans="1:7" x14ac:dyDescent="0.25">
      <c r="A1180">
        <v>23</v>
      </c>
      <c r="B1180" t="s">
        <v>7</v>
      </c>
      <c r="C1180">
        <v>34.865000000000002</v>
      </c>
      <c r="D1180">
        <v>0</v>
      </c>
      <c r="E1180" t="s">
        <v>11</v>
      </c>
      <c r="F1180" t="s">
        <v>14</v>
      </c>
      <c r="G1180">
        <v>2899.4893499999998</v>
      </c>
    </row>
    <row r="1181" spans="1:7" x14ac:dyDescent="0.25">
      <c r="A1181">
        <v>31</v>
      </c>
      <c r="B1181" t="s">
        <v>10</v>
      </c>
      <c r="C1181">
        <v>29.81</v>
      </c>
      <c r="D1181">
        <v>0</v>
      </c>
      <c r="E1181" t="s">
        <v>8</v>
      </c>
      <c r="F1181" t="s">
        <v>12</v>
      </c>
      <c r="G1181">
        <v>19350.368900000001</v>
      </c>
    </row>
    <row r="1182" spans="1:7" x14ac:dyDescent="0.25">
      <c r="A1182">
        <v>42</v>
      </c>
      <c r="B1182" t="s">
        <v>7</v>
      </c>
      <c r="C1182">
        <v>41.325000000000003</v>
      </c>
      <c r="D1182">
        <v>1</v>
      </c>
      <c r="E1182" t="s">
        <v>11</v>
      </c>
      <c r="F1182" t="s">
        <v>14</v>
      </c>
      <c r="G1182">
        <v>7650.7737500000003</v>
      </c>
    </row>
    <row r="1183" spans="1:7" x14ac:dyDescent="0.25">
      <c r="A1183">
        <v>24</v>
      </c>
      <c r="B1183" t="s">
        <v>7</v>
      </c>
      <c r="C1183">
        <v>29.925000000000001</v>
      </c>
      <c r="D1183">
        <v>0</v>
      </c>
      <c r="E1183" t="s">
        <v>11</v>
      </c>
      <c r="F1183" t="s">
        <v>13</v>
      </c>
      <c r="G1183">
        <v>2850.6837500000001</v>
      </c>
    </row>
    <row r="1184" spans="1:7" x14ac:dyDescent="0.25">
      <c r="A1184">
        <v>25</v>
      </c>
      <c r="B1184" t="s">
        <v>7</v>
      </c>
      <c r="C1184">
        <v>30.3</v>
      </c>
      <c r="D1184">
        <v>0</v>
      </c>
      <c r="E1184" t="s">
        <v>11</v>
      </c>
      <c r="F1184" t="s">
        <v>9</v>
      </c>
      <c r="G1184">
        <v>2632.9920000000002</v>
      </c>
    </row>
    <row r="1185" spans="1:7" x14ac:dyDescent="0.25">
      <c r="A1185">
        <v>48</v>
      </c>
      <c r="B1185" t="s">
        <v>7</v>
      </c>
      <c r="C1185">
        <v>27.36</v>
      </c>
      <c r="D1185">
        <v>1</v>
      </c>
      <c r="E1185" t="s">
        <v>11</v>
      </c>
      <c r="F1185" t="s">
        <v>14</v>
      </c>
      <c r="G1185">
        <v>9447.3824000000004</v>
      </c>
    </row>
    <row r="1186" spans="1:7" x14ac:dyDescent="0.25">
      <c r="A1186">
        <v>23</v>
      </c>
      <c r="B1186" t="s">
        <v>7</v>
      </c>
      <c r="C1186">
        <v>28.49</v>
      </c>
      <c r="D1186">
        <v>1</v>
      </c>
      <c r="E1186" t="s">
        <v>8</v>
      </c>
      <c r="F1186" t="s">
        <v>12</v>
      </c>
      <c r="G1186">
        <v>18328.238099999999</v>
      </c>
    </row>
    <row r="1187" spans="1:7" x14ac:dyDescent="0.25">
      <c r="A1187">
        <v>45</v>
      </c>
      <c r="B1187" t="s">
        <v>10</v>
      </c>
      <c r="C1187">
        <v>23.56</v>
      </c>
      <c r="D1187">
        <v>2</v>
      </c>
      <c r="E1187" t="s">
        <v>11</v>
      </c>
      <c r="F1187" t="s">
        <v>14</v>
      </c>
      <c r="G1187">
        <v>8603.8233999999993</v>
      </c>
    </row>
    <row r="1188" spans="1:7" x14ac:dyDescent="0.25">
      <c r="A1188">
        <v>20</v>
      </c>
      <c r="B1188" t="s">
        <v>10</v>
      </c>
      <c r="C1188">
        <v>35.625</v>
      </c>
      <c r="D1188">
        <v>3</v>
      </c>
      <c r="E1188" t="s">
        <v>8</v>
      </c>
      <c r="F1188" t="s">
        <v>13</v>
      </c>
      <c r="G1188">
        <v>37465.34375</v>
      </c>
    </row>
    <row r="1189" spans="1:7" x14ac:dyDescent="0.25">
      <c r="A1189">
        <v>62</v>
      </c>
      <c r="B1189" t="s">
        <v>7</v>
      </c>
      <c r="C1189">
        <v>32.68</v>
      </c>
      <c r="D1189">
        <v>0</v>
      </c>
      <c r="E1189" t="s">
        <v>11</v>
      </c>
      <c r="F1189" t="s">
        <v>13</v>
      </c>
      <c r="G1189">
        <v>13844.797200000001</v>
      </c>
    </row>
    <row r="1190" spans="1:7" x14ac:dyDescent="0.25">
      <c r="A1190">
        <v>43</v>
      </c>
      <c r="B1190" t="s">
        <v>7</v>
      </c>
      <c r="C1190">
        <v>25.27</v>
      </c>
      <c r="D1190">
        <v>1</v>
      </c>
      <c r="E1190" t="s">
        <v>8</v>
      </c>
      <c r="F1190" t="s">
        <v>14</v>
      </c>
      <c r="G1190">
        <v>21771.3423</v>
      </c>
    </row>
    <row r="1191" spans="1:7" x14ac:dyDescent="0.25">
      <c r="A1191">
        <v>23</v>
      </c>
      <c r="B1191" t="s">
        <v>7</v>
      </c>
      <c r="C1191">
        <v>28</v>
      </c>
      <c r="D1191">
        <v>0</v>
      </c>
      <c r="E1191" t="s">
        <v>11</v>
      </c>
      <c r="F1191" t="s">
        <v>9</v>
      </c>
      <c r="G1191">
        <v>13126.677449999999</v>
      </c>
    </row>
    <row r="1192" spans="1:7" x14ac:dyDescent="0.25">
      <c r="A1192">
        <v>31</v>
      </c>
      <c r="B1192" t="s">
        <v>7</v>
      </c>
      <c r="C1192">
        <v>32.774999999999999</v>
      </c>
      <c r="D1192">
        <v>2</v>
      </c>
      <c r="E1192" t="s">
        <v>11</v>
      </c>
      <c r="F1192" t="s">
        <v>13</v>
      </c>
      <c r="G1192">
        <v>5327.4002499999997</v>
      </c>
    </row>
    <row r="1193" spans="1:7" x14ac:dyDescent="0.25">
      <c r="A1193">
        <v>41</v>
      </c>
      <c r="B1193" t="s">
        <v>7</v>
      </c>
      <c r="C1193">
        <v>21.754999999999999</v>
      </c>
      <c r="D1193">
        <v>1</v>
      </c>
      <c r="E1193" t="s">
        <v>11</v>
      </c>
      <c r="F1193" t="s">
        <v>14</v>
      </c>
      <c r="G1193">
        <v>13725.47184</v>
      </c>
    </row>
    <row r="1194" spans="1:7" x14ac:dyDescent="0.25">
      <c r="A1194">
        <v>58</v>
      </c>
      <c r="B1194" t="s">
        <v>7</v>
      </c>
      <c r="C1194">
        <v>32.395000000000003</v>
      </c>
      <c r="D1194">
        <v>1</v>
      </c>
      <c r="E1194" t="s">
        <v>11</v>
      </c>
      <c r="F1194" t="s">
        <v>14</v>
      </c>
      <c r="G1194">
        <v>13019.161050000001</v>
      </c>
    </row>
    <row r="1195" spans="1:7" x14ac:dyDescent="0.25">
      <c r="A1195">
        <v>48</v>
      </c>
      <c r="B1195" t="s">
        <v>7</v>
      </c>
      <c r="C1195">
        <v>36.575000000000003</v>
      </c>
      <c r="D1195">
        <v>0</v>
      </c>
      <c r="E1195" t="s">
        <v>11</v>
      </c>
      <c r="F1195" t="s">
        <v>13</v>
      </c>
      <c r="G1195">
        <v>8671.1912499999999</v>
      </c>
    </row>
    <row r="1196" spans="1:7" x14ac:dyDescent="0.25">
      <c r="A1196">
        <v>31</v>
      </c>
      <c r="B1196" t="s">
        <v>7</v>
      </c>
      <c r="C1196">
        <v>21.754999999999999</v>
      </c>
      <c r="D1196">
        <v>0</v>
      </c>
      <c r="E1196" t="s">
        <v>11</v>
      </c>
      <c r="F1196" t="s">
        <v>13</v>
      </c>
      <c r="G1196">
        <v>4134.0824499999999</v>
      </c>
    </row>
    <row r="1197" spans="1:7" x14ac:dyDescent="0.25">
      <c r="A1197">
        <v>19</v>
      </c>
      <c r="B1197" t="s">
        <v>7</v>
      </c>
      <c r="C1197">
        <v>27.93</v>
      </c>
      <c r="D1197">
        <v>3</v>
      </c>
      <c r="E1197" t="s">
        <v>11</v>
      </c>
      <c r="F1197" t="s">
        <v>13</v>
      </c>
      <c r="G1197">
        <v>18838.703659999999</v>
      </c>
    </row>
    <row r="1198" spans="1:7" x14ac:dyDescent="0.25">
      <c r="A1198">
        <v>19</v>
      </c>
      <c r="B1198" t="s">
        <v>7</v>
      </c>
      <c r="C1198">
        <v>30.02</v>
      </c>
      <c r="D1198">
        <v>0</v>
      </c>
      <c r="E1198" t="s">
        <v>8</v>
      </c>
      <c r="F1198" t="s">
        <v>13</v>
      </c>
      <c r="G1198">
        <v>33307.550799999997</v>
      </c>
    </row>
    <row r="1199" spans="1:7" x14ac:dyDescent="0.25">
      <c r="A1199">
        <v>41</v>
      </c>
      <c r="B1199" t="s">
        <v>10</v>
      </c>
      <c r="C1199">
        <v>33.549999999999997</v>
      </c>
      <c r="D1199">
        <v>0</v>
      </c>
      <c r="E1199" t="s">
        <v>11</v>
      </c>
      <c r="F1199" t="s">
        <v>12</v>
      </c>
      <c r="G1199">
        <v>5699.8374999999996</v>
      </c>
    </row>
    <row r="1200" spans="1:7" x14ac:dyDescent="0.25">
      <c r="A1200">
        <v>40</v>
      </c>
      <c r="B1200" t="s">
        <v>10</v>
      </c>
      <c r="C1200">
        <v>29.355</v>
      </c>
      <c r="D1200">
        <v>1</v>
      </c>
      <c r="E1200" t="s">
        <v>11</v>
      </c>
      <c r="F1200" t="s">
        <v>13</v>
      </c>
      <c r="G1200">
        <v>6393.6034499999996</v>
      </c>
    </row>
    <row r="1201" spans="1:7" x14ac:dyDescent="0.25">
      <c r="A1201">
        <v>31</v>
      </c>
      <c r="B1201" t="s">
        <v>7</v>
      </c>
      <c r="C1201">
        <v>25.8</v>
      </c>
      <c r="D1201">
        <v>2</v>
      </c>
      <c r="E1201" t="s">
        <v>11</v>
      </c>
      <c r="F1201" t="s">
        <v>9</v>
      </c>
      <c r="G1201">
        <v>4934.7049999999999</v>
      </c>
    </row>
    <row r="1202" spans="1:7" x14ac:dyDescent="0.25">
      <c r="A1202">
        <v>37</v>
      </c>
      <c r="B1202" t="s">
        <v>10</v>
      </c>
      <c r="C1202">
        <v>24.32</v>
      </c>
      <c r="D1202">
        <v>2</v>
      </c>
      <c r="E1202" t="s">
        <v>11</v>
      </c>
      <c r="F1202" t="s">
        <v>13</v>
      </c>
      <c r="G1202">
        <v>6198.7518</v>
      </c>
    </row>
    <row r="1203" spans="1:7" x14ac:dyDescent="0.25">
      <c r="A1203">
        <v>46</v>
      </c>
      <c r="B1203" t="s">
        <v>10</v>
      </c>
      <c r="C1203">
        <v>40.375</v>
      </c>
      <c r="D1203">
        <v>2</v>
      </c>
      <c r="E1203" t="s">
        <v>11</v>
      </c>
      <c r="F1203" t="s">
        <v>13</v>
      </c>
      <c r="G1203">
        <v>8733.2292500000003</v>
      </c>
    </row>
    <row r="1204" spans="1:7" x14ac:dyDescent="0.25">
      <c r="A1204">
        <v>22</v>
      </c>
      <c r="B1204" t="s">
        <v>10</v>
      </c>
      <c r="C1204">
        <v>32.11</v>
      </c>
      <c r="D1204">
        <v>0</v>
      </c>
      <c r="E1204" t="s">
        <v>11</v>
      </c>
      <c r="F1204" t="s">
        <v>13</v>
      </c>
      <c r="G1204">
        <v>2055.3249000000001</v>
      </c>
    </row>
    <row r="1205" spans="1:7" x14ac:dyDescent="0.25">
      <c r="A1205">
        <v>51</v>
      </c>
      <c r="B1205" t="s">
        <v>10</v>
      </c>
      <c r="C1205">
        <v>32.299999999999997</v>
      </c>
      <c r="D1205">
        <v>1</v>
      </c>
      <c r="E1205" t="s">
        <v>11</v>
      </c>
      <c r="F1205" t="s">
        <v>14</v>
      </c>
      <c r="G1205">
        <v>9964.06</v>
      </c>
    </row>
    <row r="1206" spans="1:7" x14ac:dyDescent="0.25">
      <c r="A1206">
        <v>18</v>
      </c>
      <c r="B1206" t="s">
        <v>7</v>
      </c>
      <c r="C1206">
        <v>27.28</v>
      </c>
      <c r="D1206">
        <v>3</v>
      </c>
      <c r="E1206" t="s">
        <v>8</v>
      </c>
      <c r="F1206" t="s">
        <v>12</v>
      </c>
      <c r="G1206">
        <v>18223.4512</v>
      </c>
    </row>
    <row r="1207" spans="1:7" x14ac:dyDescent="0.25">
      <c r="A1207">
        <v>35</v>
      </c>
      <c r="B1207" t="s">
        <v>10</v>
      </c>
      <c r="C1207">
        <v>17.86</v>
      </c>
      <c r="D1207">
        <v>1</v>
      </c>
      <c r="E1207" t="s">
        <v>11</v>
      </c>
      <c r="F1207" t="s">
        <v>13</v>
      </c>
      <c r="G1207">
        <v>5116.5003999999999</v>
      </c>
    </row>
    <row r="1208" spans="1:7" x14ac:dyDescent="0.25">
      <c r="A1208">
        <v>59</v>
      </c>
      <c r="B1208" t="s">
        <v>7</v>
      </c>
      <c r="C1208">
        <v>34.799999999999997</v>
      </c>
      <c r="D1208">
        <v>2</v>
      </c>
      <c r="E1208" t="s">
        <v>11</v>
      </c>
      <c r="F1208" t="s">
        <v>9</v>
      </c>
      <c r="G1208">
        <v>36910.608030000003</v>
      </c>
    </row>
    <row r="1209" spans="1:7" x14ac:dyDescent="0.25">
      <c r="A1209">
        <v>36</v>
      </c>
      <c r="B1209" t="s">
        <v>10</v>
      </c>
      <c r="C1209">
        <v>33.4</v>
      </c>
      <c r="D1209">
        <v>2</v>
      </c>
      <c r="E1209" t="s">
        <v>8</v>
      </c>
      <c r="F1209" t="s">
        <v>9</v>
      </c>
      <c r="G1209">
        <v>38415.474000000002</v>
      </c>
    </row>
    <row r="1210" spans="1:7" x14ac:dyDescent="0.25">
      <c r="A1210">
        <v>37</v>
      </c>
      <c r="B1210" t="s">
        <v>7</v>
      </c>
      <c r="C1210">
        <v>25.555</v>
      </c>
      <c r="D1210">
        <v>1</v>
      </c>
      <c r="E1210" t="s">
        <v>8</v>
      </c>
      <c r="F1210" t="s">
        <v>14</v>
      </c>
      <c r="G1210">
        <v>20296.863450000001</v>
      </c>
    </row>
    <row r="1211" spans="1:7" x14ac:dyDescent="0.25">
      <c r="A1211">
        <v>59</v>
      </c>
      <c r="B1211" t="s">
        <v>10</v>
      </c>
      <c r="C1211">
        <v>37.1</v>
      </c>
      <c r="D1211">
        <v>1</v>
      </c>
      <c r="E1211" t="s">
        <v>11</v>
      </c>
      <c r="F1211" t="s">
        <v>9</v>
      </c>
      <c r="G1211">
        <v>12347.172</v>
      </c>
    </row>
    <row r="1212" spans="1:7" x14ac:dyDescent="0.25">
      <c r="A1212">
        <v>36</v>
      </c>
      <c r="B1212" t="s">
        <v>10</v>
      </c>
      <c r="C1212">
        <v>30.875</v>
      </c>
      <c r="D1212">
        <v>1</v>
      </c>
      <c r="E1212" t="s">
        <v>11</v>
      </c>
      <c r="F1212" t="s">
        <v>13</v>
      </c>
      <c r="G1212">
        <v>5373.3642499999996</v>
      </c>
    </row>
    <row r="1213" spans="1:7" x14ac:dyDescent="0.25">
      <c r="A1213">
        <v>39</v>
      </c>
      <c r="B1213" t="s">
        <v>10</v>
      </c>
      <c r="C1213">
        <v>34.1</v>
      </c>
      <c r="D1213">
        <v>2</v>
      </c>
      <c r="E1213" t="s">
        <v>11</v>
      </c>
      <c r="F1213" t="s">
        <v>12</v>
      </c>
      <c r="G1213">
        <v>23563.016179999999</v>
      </c>
    </row>
    <row r="1214" spans="1:7" x14ac:dyDescent="0.25">
      <c r="A1214">
        <v>18</v>
      </c>
      <c r="B1214" t="s">
        <v>10</v>
      </c>
      <c r="C1214">
        <v>21.47</v>
      </c>
      <c r="D1214">
        <v>0</v>
      </c>
      <c r="E1214" t="s">
        <v>11</v>
      </c>
      <c r="F1214" t="s">
        <v>14</v>
      </c>
      <c r="G1214">
        <v>1702.4553000000001</v>
      </c>
    </row>
    <row r="1215" spans="1:7" x14ac:dyDescent="0.25">
      <c r="A1215">
        <v>52</v>
      </c>
      <c r="B1215" t="s">
        <v>7</v>
      </c>
      <c r="C1215">
        <v>33.299999999999997</v>
      </c>
      <c r="D1215">
        <v>2</v>
      </c>
      <c r="E1215" t="s">
        <v>11</v>
      </c>
      <c r="F1215" t="s">
        <v>9</v>
      </c>
      <c r="G1215">
        <v>10806.839</v>
      </c>
    </row>
    <row r="1216" spans="1:7" x14ac:dyDescent="0.25">
      <c r="A1216">
        <v>27</v>
      </c>
      <c r="B1216" t="s">
        <v>7</v>
      </c>
      <c r="C1216">
        <v>31.254999999999999</v>
      </c>
      <c r="D1216">
        <v>1</v>
      </c>
      <c r="E1216" t="s">
        <v>11</v>
      </c>
      <c r="F1216" t="s">
        <v>13</v>
      </c>
      <c r="G1216">
        <v>3956.0714499999999</v>
      </c>
    </row>
    <row r="1217" spans="1:7" x14ac:dyDescent="0.25">
      <c r="A1217">
        <v>18</v>
      </c>
      <c r="B1217" t="s">
        <v>10</v>
      </c>
      <c r="C1217">
        <v>39.14</v>
      </c>
      <c r="D1217">
        <v>0</v>
      </c>
      <c r="E1217" t="s">
        <v>11</v>
      </c>
      <c r="F1217" t="s">
        <v>14</v>
      </c>
      <c r="G1217">
        <v>12890.057650000001</v>
      </c>
    </row>
    <row r="1218" spans="1:7" x14ac:dyDescent="0.25">
      <c r="A1218">
        <v>40</v>
      </c>
      <c r="B1218" t="s">
        <v>10</v>
      </c>
      <c r="C1218">
        <v>25.08</v>
      </c>
      <c r="D1218">
        <v>0</v>
      </c>
      <c r="E1218" t="s">
        <v>11</v>
      </c>
      <c r="F1218" t="s">
        <v>12</v>
      </c>
      <c r="G1218">
        <v>5415.6611999999996</v>
      </c>
    </row>
    <row r="1219" spans="1:7" x14ac:dyDescent="0.25">
      <c r="A1219">
        <v>29</v>
      </c>
      <c r="B1219" t="s">
        <v>10</v>
      </c>
      <c r="C1219">
        <v>37.29</v>
      </c>
      <c r="D1219">
        <v>2</v>
      </c>
      <c r="E1219" t="s">
        <v>11</v>
      </c>
      <c r="F1219" t="s">
        <v>12</v>
      </c>
      <c r="G1219">
        <v>4058.1161000000002</v>
      </c>
    </row>
    <row r="1220" spans="1:7" x14ac:dyDescent="0.25">
      <c r="A1220">
        <v>46</v>
      </c>
      <c r="B1220" t="s">
        <v>7</v>
      </c>
      <c r="C1220">
        <v>34.6</v>
      </c>
      <c r="D1220">
        <v>1</v>
      </c>
      <c r="E1220" t="s">
        <v>8</v>
      </c>
      <c r="F1220" t="s">
        <v>9</v>
      </c>
      <c r="G1220">
        <v>41661.601999999999</v>
      </c>
    </row>
    <row r="1221" spans="1:7" x14ac:dyDescent="0.25">
      <c r="A1221">
        <v>38</v>
      </c>
      <c r="B1221" t="s">
        <v>7</v>
      </c>
      <c r="C1221">
        <v>30.21</v>
      </c>
      <c r="D1221">
        <v>3</v>
      </c>
      <c r="E1221" t="s">
        <v>11</v>
      </c>
      <c r="F1221" t="s">
        <v>13</v>
      </c>
      <c r="G1221">
        <v>7537.1638999999996</v>
      </c>
    </row>
    <row r="1222" spans="1:7" x14ac:dyDescent="0.25">
      <c r="A1222">
        <v>30</v>
      </c>
      <c r="B1222" t="s">
        <v>7</v>
      </c>
      <c r="C1222">
        <v>21.945</v>
      </c>
      <c r="D1222">
        <v>1</v>
      </c>
      <c r="E1222" t="s">
        <v>11</v>
      </c>
      <c r="F1222" t="s">
        <v>14</v>
      </c>
      <c r="G1222">
        <v>4718.2035500000002</v>
      </c>
    </row>
    <row r="1223" spans="1:7" x14ac:dyDescent="0.25">
      <c r="A1223">
        <v>40</v>
      </c>
      <c r="B1223" t="s">
        <v>10</v>
      </c>
      <c r="C1223">
        <v>24.97</v>
      </c>
      <c r="D1223">
        <v>2</v>
      </c>
      <c r="E1223" t="s">
        <v>11</v>
      </c>
      <c r="F1223" t="s">
        <v>12</v>
      </c>
      <c r="G1223">
        <v>6593.5083000000004</v>
      </c>
    </row>
    <row r="1224" spans="1:7" x14ac:dyDescent="0.25">
      <c r="A1224">
        <v>50</v>
      </c>
      <c r="B1224" t="s">
        <v>10</v>
      </c>
      <c r="C1224">
        <v>25.3</v>
      </c>
      <c r="D1224">
        <v>0</v>
      </c>
      <c r="E1224" t="s">
        <v>11</v>
      </c>
      <c r="F1224" t="s">
        <v>12</v>
      </c>
      <c r="G1224">
        <v>8442.6669999999995</v>
      </c>
    </row>
    <row r="1225" spans="1:7" x14ac:dyDescent="0.25">
      <c r="A1225">
        <v>20</v>
      </c>
      <c r="B1225" t="s">
        <v>7</v>
      </c>
      <c r="C1225">
        <v>24.42</v>
      </c>
      <c r="D1225">
        <v>0</v>
      </c>
      <c r="E1225" t="s">
        <v>8</v>
      </c>
      <c r="F1225" t="s">
        <v>12</v>
      </c>
      <c r="G1225">
        <v>26125.674770000001</v>
      </c>
    </row>
    <row r="1226" spans="1:7" x14ac:dyDescent="0.25">
      <c r="A1226">
        <v>41</v>
      </c>
      <c r="B1226" t="s">
        <v>10</v>
      </c>
      <c r="C1226">
        <v>23.94</v>
      </c>
      <c r="D1226">
        <v>1</v>
      </c>
      <c r="E1226" t="s">
        <v>11</v>
      </c>
      <c r="F1226" t="s">
        <v>14</v>
      </c>
      <c r="G1226">
        <v>6858.4795999999997</v>
      </c>
    </row>
    <row r="1227" spans="1:7" x14ac:dyDescent="0.25">
      <c r="A1227">
        <v>33</v>
      </c>
      <c r="B1227" t="s">
        <v>7</v>
      </c>
      <c r="C1227">
        <v>39.82</v>
      </c>
      <c r="D1227">
        <v>1</v>
      </c>
      <c r="E1227" t="s">
        <v>11</v>
      </c>
      <c r="F1227" t="s">
        <v>12</v>
      </c>
      <c r="G1227">
        <v>4795.6567999999997</v>
      </c>
    </row>
    <row r="1228" spans="1:7" x14ac:dyDescent="0.25">
      <c r="A1228">
        <v>38</v>
      </c>
      <c r="B1228" t="s">
        <v>10</v>
      </c>
      <c r="C1228">
        <v>16.815000000000001</v>
      </c>
      <c r="D1228">
        <v>2</v>
      </c>
      <c r="E1228" t="s">
        <v>11</v>
      </c>
      <c r="F1228" t="s">
        <v>14</v>
      </c>
      <c r="G1228">
        <v>6640.5448500000002</v>
      </c>
    </row>
    <row r="1229" spans="1:7" x14ac:dyDescent="0.25">
      <c r="A1229">
        <v>42</v>
      </c>
      <c r="B1229" t="s">
        <v>10</v>
      </c>
      <c r="C1229">
        <v>37.18</v>
      </c>
      <c r="D1229">
        <v>2</v>
      </c>
      <c r="E1229" t="s">
        <v>11</v>
      </c>
      <c r="F1229" t="s">
        <v>12</v>
      </c>
      <c r="G1229">
        <v>7162.0122000000001</v>
      </c>
    </row>
    <row r="1230" spans="1:7" x14ac:dyDescent="0.25">
      <c r="A1230">
        <v>56</v>
      </c>
      <c r="B1230" t="s">
        <v>10</v>
      </c>
      <c r="C1230">
        <v>34.43</v>
      </c>
      <c r="D1230">
        <v>0</v>
      </c>
      <c r="E1230" t="s">
        <v>11</v>
      </c>
      <c r="F1230" t="s">
        <v>12</v>
      </c>
      <c r="G1230">
        <v>10594.225700000001</v>
      </c>
    </row>
    <row r="1231" spans="1:7" x14ac:dyDescent="0.25">
      <c r="A1231">
        <v>58</v>
      </c>
      <c r="B1231" t="s">
        <v>10</v>
      </c>
      <c r="C1231">
        <v>30.305</v>
      </c>
      <c r="D1231">
        <v>0</v>
      </c>
      <c r="E1231" t="s">
        <v>11</v>
      </c>
      <c r="F1231" t="s">
        <v>14</v>
      </c>
      <c r="G1231">
        <v>11938.255950000001</v>
      </c>
    </row>
    <row r="1232" spans="1:7" x14ac:dyDescent="0.25">
      <c r="A1232">
        <v>52</v>
      </c>
      <c r="B1232" t="s">
        <v>10</v>
      </c>
      <c r="C1232">
        <v>34.484999999999999</v>
      </c>
      <c r="D1232">
        <v>3</v>
      </c>
      <c r="E1232" t="s">
        <v>8</v>
      </c>
      <c r="F1232" t="s">
        <v>13</v>
      </c>
      <c r="G1232">
        <v>60021.398970000002</v>
      </c>
    </row>
    <row r="1233" spans="1:7" x14ac:dyDescent="0.25">
      <c r="A1233">
        <v>20</v>
      </c>
      <c r="B1233" t="s">
        <v>7</v>
      </c>
      <c r="C1233">
        <v>21.8</v>
      </c>
      <c r="D1233">
        <v>0</v>
      </c>
      <c r="E1233" t="s">
        <v>8</v>
      </c>
      <c r="F1233" t="s">
        <v>9</v>
      </c>
      <c r="G1233">
        <v>20167.336029999999</v>
      </c>
    </row>
    <row r="1234" spans="1:7" x14ac:dyDescent="0.25">
      <c r="A1234">
        <v>54</v>
      </c>
      <c r="B1234" t="s">
        <v>7</v>
      </c>
      <c r="C1234">
        <v>24.605</v>
      </c>
      <c r="D1234">
        <v>3</v>
      </c>
      <c r="E1234" t="s">
        <v>11</v>
      </c>
      <c r="F1234" t="s">
        <v>13</v>
      </c>
      <c r="G1234">
        <v>12479.70895</v>
      </c>
    </row>
    <row r="1235" spans="1:7" x14ac:dyDescent="0.25">
      <c r="A1235">
        <v>58</v>
      </c>
      <c r="B1235" t="s">
        <v>10</v>
      </c>
      <c r="C1235">
        <v>23.3</v>
      </c>
      <c r="D1235">
        <v>0</v>
      </c>
      <c r="E1235" t="s">
        <v>11</v>
      </c>
      <c r="F1235" t="s">
        <v>9</v>
      </c>
      <c r="G1235">
        <v>11345.519</v>
      </c>
    </row>
    <row r="1236" spans="1:7" x14ac:dyDescent="0.25">
      <c r="A1236">
        <v>45</v>
      </c>
      <c r="B1236" t="s">
        <v>7</v>
      </c>
      <c r="C1236">
        <v>27.83</v>
      </c>
      <c r="D1236">
        <v>2</v>
      </c>
      <c r="E1236" t="s">
        <v>11</v>
      </c>
      <c r="F1236" t="s">
        <v>12</v>
      </c>
      <c r="G1236">
        <v>8515.7587000000003</v>
      </c>
    </row>
    <row r="1237" spans="1:7" x14ac:dyDescent="0.25">
      <c r="A1237">
        <v>26</v>
      </c>
      <c r="B1237" t="s">
        <v>10</v>
      </c>
      <c r="C1237">
        <v>31.065000000000001</v>
      </c>
      <c r="D1237">
        <v>0</v>
      </c>
      <c r="E1237" t="s">
        <v>11</v>
      </c>
      <c r="F1237" t="s">
        <v>13</v>
      </c>
      <c r="G1237">
        <v>2699.56835</v>
      </c>
    </row>
    <row r="1238" spans="1:7" x14ac:dyDescent="0.25">
      <c r="A1238">
        <v>63</v>
      </c>
      <c r="B1238" t="s">
        <v>7</v>
      </c>
      <c r="C1238">
        <v>21.66</v>
      </c>
      <c r="D1238">
        <v>0</v>
      </c>
      <c r="E1238" t="s">
        <v>11</v>
      </c>
      <c r="F1238" t="s">
        <v>14</v>
      </c>
      <c r="G1238">
        <v>14449.8544</v>
      </c>
    </row>
    <row r="1239" spans="1:7" x14ac:dyDescent="0.25">
      <c r="A1239">
        <v>58</v>
      </c>
      <c r="B1239" t="s">
        <v>7</v>
      </c>
      <c r="C1239">
        <v>28.215</v>
      </c>
      <c r="D1239">
        <v>0</v>
      </c>
      <c r="E1239" t="s">
        <v>11</v>
      </c>
      <c r="F1239" t="s">
        <v>13</v>
      </c>
      <c r="G1239">
        <v>12224.350850000001</v>
      </c>
    </row>
    <row r="1240" spans="1:7" x14ac:dyDescent="0.25">
      <c r="A1240">
        <v>37</v>
      </c>
      <c r="B1240" t="s">
        <v>10</v>
      </c>
      <c r="C1240">
        <v>22.704999999999998</v>
      </c>
      <c r="D1240">
        <v>3</v>
      </c>
      <c r="E1240" t="s">
        <v>11</v>
      </c>
      <c r="F1240" t="s">
        <v>14</v>
      </c>
      <c r="G1240">
        <v>6985.50695</v>
      </c>
    </row>
    <row r="1241" spans="1:7" x14ac:dyDescent="0.25">
      <c r="A1241">
        <v>25</v>
      </c>
      <c r="B1241" t="s">
        <v>7</v>
      </c>
      <c r="C1241">
        <v>42.13</v>
      </c>
      <c r="D1241">
        <v>1</v>
      </c>
      <c r="E1241" t="s">
        <v>11</v>
      </c>
      <c r="F1241" t="s">
        <v>12</v>
      </c>
      <c r="G1241">
        <v>3238.4357</v>
      </c>
    </row>
    <row r="1242" spans="1:7" x14ac:dyDescent="0.25">
      <c r="A1242">
        <v>52</v>
      </c>
      <c r="B1242" t="s">
        <v>10</v>
      </c>
      <c r="C1242">
        <v>41.8</v>
      </c>
      <c r="D1242">
        <v>2</v>
      </c>
      <c r="E1242" t="s">
        <v>8</v>
      </c>
      <c r="F1242" t="s">
        <v>12</v>
      </c>
      <c r="G1242">
        <v>47269.853999999999</v>
      </c>
    </row>
    <row r="1243" spans="1:7" x14ac:dyDescent="0.25">
      <c r="A1243">
        <v>64</v>
      </c>
      <c r="B1243" t="s">
        <v>10</v>
      </c>
      <c r="C1243">
        <v>36.96</v>
      </c>
      <c r="D1243">
        <v>2</v>
      </c>
      <c r="E1243" t="s">
        <v>8</v>
      </c>
      <c r="F1243" t="s">
        <v>12</v>
      </c>
      <c r="G1243">
        <v>49577.662400000001</v>
      </c>
    </row>
    <row r="1244" spans="1:7" x14ac:dyDescent="0.25">
      <c r="A1244">
        <v>22</v>
      </c>
      <c r="B1244" t="s">
        <v>7</v>
      </c>
      <c r="C1244">
        <v>21.28</v>
      </c>
      <c r="D1244">
        <v>3</v>
      </c>
      <c r="E1244" t="s">
        <v>11</v>
      </c>
      <c r="F1244" t="s">
        <v>13</v>
      </c>
      <c r="G1244">
        <v>4296.2712000000001</v>
      </c>
    </row>
    <row r="1245" spans="1:7" x14ac:dyDescent="0.25">
      <c r="A1245">
        <v>28</v>
      </c>
      <c r="B1245" t="s">
        <v>7</v>
      </c>
      <c r="C1245">
        <v>33.11</v>
      </c>
      <c r="D1245">
        <v>0</v>
      </c>
      <c r="E1245" t="s">
        <v>11</v>
      </c>
      <c r="F1245" t="s">
        <v>12</v>
      </c>
      <c r="G1245">
        <v>3171.6149</v>
      </c>
    </row>
    <row r="1246" spans="1:7" x14ac:dyDescent="0.25">
      <c r="A1246">
        <v>18</v>
      </c>
      <c r="B1246" t="s">
        <v>10</v>
      </c>
      <c r="C1246">
        <v>33.33</v>
      </c>
      <c r="D1246">
        <v>0</v>
      </c>
      <c r="E1246" t="s">
        <v>11</v>
      </c>
      <c r="F1246" t="s">
        <v>12</v>
      </c>
      <c r="G1246">
        <v>1135.9407000000001</v>
      </c>
    </row>
    <row r="1247" spans="1:7" x14ac:dyDescent="0.25">
      <c r="A1247">
        <v>28</v>
      </c>
      <c r="B1247" t="s">
        <v>10</v>
      </c>
      <c r="C1247">
        <v>24.3</v>
      </c>
      <c r="D1247">
        <v>5</v>
      </c>
      <c r="E1247" t="s">
        <v>11</v>
      </c>
      <c r="F1247" t="s">
        <v>9</v>
      </c>
      <c r="G1247">
        <v>5615.3689999999997</v>
      </c>
    </row>
    <row r="1248" spans="1:7" x14ac:dyDescent="0.25">
      <c r="A1248">
        <v>45</v>
      </c>
      <c r="B1248" t="s">
        <v>7</v>
      </c>
      <c r="C1248">
        <v>25.7</v>
      </c>
      <c r="D1248">
        <v>3</v>
      </c>
      <c r="E1248" t="s">
        <v>11</v>
      </c>
      <c r="F1248" t="s">
        <v>9</v>
      </c>
      <c r="G1248">
        <v>9101.7980000000007</v>
      </c>
    </row>
    <row r="1249" spans="1:7" x14ac:dyDescent="0.25">
      <c r="A1249">
        <v>33</v>
      </c>
      <c r="B1249" t="s">
        <v>10</v>
      </c>
      <c r="C1249">
        <v>29.4</v>
      </c>
      <c r="D1249">
        <v>4</v>
      </c>
      <c r="E1249" t="s">
        <v>11</v>
      </c>
      <c r="F1249" t="s">
        <v>9</v>
      </c>
      <c r="G1249">
        <v>6059.1729999999998</v>
      </c>
    </row>
    <row r="1250" spans="1:7" x14ac:dyDescent="0.25">
      <c r="A1250">
        <v>18</v>
      </c>
      <c r="B1250" t="s">
        <v>7</v>
      </c>
      <c r="C1250">
        <v>39.82</v>
      </c>
      <c r="D1250">
        <v>0</v>
      </c>
      <c r="E1250" t="s">
        <v>11</v>
      </c>
      <c r="F1250" t="s">
        <v>12</v>
      </c>
      <c r="G1250">
        <v>1633.9618</v>
      </c>
    </row>
    <row r="1251" spans="1:7" x14ac:dyDescent="0.25">
      <c r="A1251">
        <v>32</v>
      </c>
      <c r="B1251" t="s">
        <v>10</v>
      </c>
      <c r="C1251">
        <v>33.630000000000003</v>
      </c>
      <c r="D1251">
        <v>1</v>
      </c>
      <c r="E1251" t="s">
        <v>8</v>
      </c>
      <c r="F1251" t="s">
        <v>14</v>
      </c>
      <c r="G1251">
        <v>37607.527699999999</v>
      </c>
    </row>
    <row r="1252" spans="1:7" x14ac:dyDescent="0.25">
      <c r="A1252">
        <v>24</v>
      </c>
      <c r="B1252" t="s">
        <v>10</v>
      </c>
      <c r="C1252">
        <v>29.83</v>
      </c>
      <c r="D1252">
        <v>0</v>
      </c>
      <c r="E1252" t="s">
        <v>8</v>
      </c>
      <c r="F1252" t="s">
        <v>14</v>
      </c>
      <c r="G1252">
        <v>18648.421699999999</v>
      </c>
    </row>
    <row r="1253" spans="1:7" x14ac:dyDescent="0.25">
      <c r="A1253">
        <v>19</v>
      </c>
      <c r="B1253" t="s">
        <v>10</v>
      </c>
      <c r="C1253">
        <v>19.8</v>
      </c>
      <c r="D1253">
        <v>0</v>
      </c>
      <c r="E1253" t="s">
        <v>11</v>
      </c>
      <c r="F1253" t="s">
        <v>9</v>
      </c>
      <c r="G1253">
        <v>1241.5650000000001</v>
      </c>
    </row>
    <row r="1254" spans="1:7" x14ac:dyDescent="0.25">
      <c r="A1254">
        <v>20</v>
      </c>
      <c r="B1254" t="s">
        <v>10</v>
      </c>
      <c r="C1254">
        <v>27.3</v>
      </c>
      <c r="D1254">
        <v>0</v>
      </c>
      <c r="E1254" t="s">
        <v>8</v>
      </c>
      <c r="F1254" t="s">
        <v>9</v>
      </c>
      <c r="G1254">
        <v>16232.847</v>
      </c>
    </row>
    <row r="1255" spans="1:7" x14ac:dyDescent="0.25">
      <c r="A1255">
        <v>40</v>
      </c>
      <c r="B1255" t="s">
        <v>7</v>
      </c>
      <c r="C1255">
        <v>29.3</v>
      </c>
      <c r="D1255">
        <v>4</v>
      </c>
      <c r="E1255" t="s">
        <v>11</v>
      </c>
      <c r="F1255" t="s">
        <v>9</v>
      </c>
      <c r="G1255">
        <v>15828.82173</v>
      </c>
    </row>
    <row r="1256" spans="1:7" x14ac:dyDescent="0.25">
      <c r="A1256">
        <v>34</v>
      </c>
      <c r="B1256" t="s">
        <v>7</v>
      </c>
      <c r="C1256">
        <v>27.72</v>
      </c>
      <c r="D1256">
        <v>0</v>
      </c>
      <c r="E1256" t="s">
        <v>11</v>
      </c>
      <c r="F1256" t="s">
        <v>12</v>
      </c>
      <c r="G1256">
        <v>4415.1588000000002</v>
      </c>
    </row>
    <row r="1257" spans="1:7" x14ac:dyDescent="0.25">
      <c r="A1257">
        <v>42</v>
      </c>
      <c r="B1257" t="s">
        <v>7</v>
      </c>
      <c r="C1257">
        <v>37.9</v>
      </c>
      <c r="D1257">
        <v>0</v>
      </c>
      <c r="E1257" t="s">
        <v>11</v>
      </c>
      <c r="F1257" t="s">
        <v>9</v>
      </c>
      <c r="G1257">
        <v>6474.0129999999999</v>
      </c>
    </row>
    <row r="1258" spans="1:7" x14ac:dyDescent="0.25">
      <c r="A1258">
        <v>51</v>
      </c>
      <c r="B1258" t="s">
        <v>7</v>
      </c>
      <c r="C1258">
        <v>36.384999999999998</v>
      </c>
      <c r="D1258">
        <v>3</v>
      </c>
      <c r="E1258" t="s">
        <v>11</v>
      </c>
      <c r="F1258" t="s">
        <v>13</v>
      </c>
      <c r="G1258">
        <v>11436.738149999999</v>
      </c>
    </row>
    <row r="1259" spans="1:7" x14ac:dyDescent="0.25">
      <c r="A1259">
        <v>54</v>
      </c>
      <c r="B1259" t="s">
        <v>7</v>
      </c>
      <c r="C1259">
        <v>27.645</v>
      </c>
      <c r="D1259">
        <v>1</v>
      </c>
      <c r="E1259" t="s">
        <v>11</v>
      </c>
      <c r="F1259" t="s">
        <v>13</v>
      </c>
      <c r="G1259">
        <v>11305.93455</v>
      </c>
    </row>
    <row r="1260" spans="1:7" x14ac:dyDescent="0.25">
      <c r="A1260">
        <v>55</v>
      </c>
      <c r="B1260" t="s">
        <v>10</v>
      </c>
      <c r="C1260">
        <v>37.715000000000003</v>
      </c>
      <c r="D1260">
        <v>3</v>
      </c>
      <c r="E1260" t="s">
        <v>11</v>
      </c>
      <c r="F1260" t="s">
        <v>13</v>
      </c>
      <c r="G1260">
        <v>30063.580549999999</v>
      </c>
    </row>
    <row r="1261" spans="1:7" x14ac:dyDescent="0.25">
      <c r="A1261">
        <v>52</v>
      </c>
      <c r="B1261" t="s">
        <v>7</v>
      </c>
      <c r="C1261">
        <v>23.18</v>
      </c>
      <c r="D1261">
        <v>0</v>
      </c>
      <c r="E1261" t="s">
        <v>11</v>
      </c>
      <c r="F1261" t="s">
        <v>14</v>
      </c>
      <c r="G1261">
        <v>10197.772199999999</v>
      </c>
    </row>
    <row r="1262" spans="1:7" x14ac:dyDescent="0.25">
      <c r="A1262">
        <v>32</v>
      </c>
      <c r="B1262" t="s">
        <v>7</v>
      </c>
      <c r="C1262">
        <v>20.52</v>
      </c>
      <c r="D1262">
        <v>0</v>
      </c>
      <c r="E1262" t="s">
        <v>11</v>
      </c>
      <c r="F1262" t="s">
        <v>14</v>
      </c>
      <c r="G1262">
        <v>4544.2348000000002</v>
      </c>
    </row>
    <row r="1263" spans="1:7" x14ac:dyDescent="0.25">
      <c r="A1263">
        <v>28</v>
      </c>
      <c r="B1263" t="s">
        <v>10</v>
      </c>
      <c r="C1263">
        <v>37.1</v>
      </c>
      <c r="D1263">
        <v>1</v>
      </c>
      <c r="E1263" t="s">
        <v>11</v>
      </c>
      <c r="F1263" t="s">
        <v>9</v>
      </c>
      <c r="G1263">
        <v>3277.1610000000001</v>
      </c>
    </row>
    <row r="1264" spans="1:7" x14ac:dyDescent="0.25">
      <c r="A1264">
        <v>41</v>
      </c>
      <c r="B1264" t="s">
        <v>7</v>
      </c>
      <c r="C1264">
        <v>28.05</v>
      </c>
      <c r="D1264">
        <v>1</v>
      </c>
      <c r="E1264" t="s">
        <v>11</v>
      </c>
      <c r="F1264" t="s">
        <v>12</v>
      </c>
      <c r="G1264">
        <v>6770.1925000000001</v>
      </c>
    </row>
    <row r="1265" spans="1:7" x14ac:dyDescent="0.25">
      <c r="A1265">
        <v>43</v>
      </c>
      <c r="B1265" t="s">
        <v>7</v>
      </c>
      <c r="C1265">
        <v>29.9</v>
      </c>
      <c r="D1265">
        <v>1</v>
      </c>
      <c r="E1265" t="s">
        <v>11</v>
      </c>
      <c r="F1265" t="s">
        <v>9</v>
      </c>
      <c r="G1265">
        <v>7337.7479999999996</v>
      </c>
    </row>
    <row r="1266" spans="1:7" x14ac:dyDescent="0.25">
      <c r="A1266">
        <v>49</v>
      </c>
      <c r="B1266" t="s">
        <v>7</v>
      </c>
      <c r="C1266">
        <v>33.344999999999999</v>
      </c>
      <c r="D1266">
        <v>2</v>
      </c>
      <c r="E1266" t="s">
        <v>11</v>
      </c>
      <c r="F1266" t="s">
        <v>14</v>
      </c>
      <c r="G1266">
        <v>10370.912549999999</v>
      </c>
    </row>
    <row r="1267" spans="1:7" x14ac:dyDescent="0.25">
      <c r="A1267">
        <v>64</v>
      </c>
      <c r="B1267" t="s">
        <v>10</v>
      </c>
      <c r="C1267">
        <v>23.76</v>
      </c>
      <c r="D1267">
        <v>0</v>
      </c>
      <c r="E1267" t="s">
        <v>8</v>
      </c>
      <c r="F1267" t="s">
        <v>12</v>
      </c>
      <c r="G1267">
        <v>26926.5144</v>
      </c>
    </row>
    <row r="1268" spans="1:7" x14ac:dyDescent="0.25">
      <c r="A1268">
        <v>55</v>
      </c>
      <c r="B1268" t="s">
        <v>7</v>
      </c>
      <c r="C1268">
        <v>30.5</v>
      </c>
      <c r="D1268">
        <v>0</v>
      </c>
      <c r="E1268" t="s">
        <v>11</v>
      </c>
      <c r="F1268" t="s">
        <v>9</v>
      </c>
      <c r="G1268">
        <v>10704.47</v>
      </c>
    </row>
    <row r="1269" spans="1:7" x14ac:dyDescent="0.25">
      <c r="A1269">
        <v>24</v>
      </c>
      <c r="B1269" t="s">
        <v>10</v>
      </c>
      <c r="C1269">
        <v>31.065000000000001</v>
      </c>
      <c r="D1269">
        <v>0</v>
      </c>
      <c r="E1269" t="s">
        <v>8</v>
      </c>
      <c r="F1269" t="s">
        <v>14</v>
      </c>
      <c r="G1269">
        <v>34254.053350000002</v>
      </c>
    </row>
    <row r="1270" spans="1:7" x14ac:dyDescent="0.25">
      <c r="A1270">
        <v>20</v>
      </c>
      <c r="B1270" t="s">
        <v>7</v>
      </c>
      <c r="C1270">
        <v>33.299999999999997</v>
      </c>
      <c r="D1270">
        <v>0</v>
      </c>
      <c r="E1270" t="s">
        <v>11</v>
      </c>
      <c r="F1270" t="s">
        <v>9</v>
      </c>
      <c r="G1270">
        <v>1880.4870000000001</v>
      </c>
    </row>
    <row r="1271" spans="1:7" x14ac:dyDescent="0.25">
      <c r="A1271">
        <v>45</v>
      </c>
      <c r="B1271" t="s">
        <v>10</v>
      </c>
      <c r="C1271">
        <v>27.5</v>
      </c>
      <c r="D1271">
        <v>3</v>
      </c>
      <c r="E1271" t="s">
        <v>11</v>
      </c>
      <c r="F1271" t="s">
        <v>9</v>
      </c>
      <c r="G1271">
        <v>8615.2999999999993</v>
      </c>
    </row>
    <row r="1272" spans="1:7" x14ac:dyDescent="0.25">
      <c r="A1272">
        <v>26</v>
      </c>
      <c r="B1272" t="s">
        <v>10</v>
      </c>
      <c r="C1272">
        <v>33.914999999999999</v>
      </c>
      <c r="D1272">
        <v>1</v>
      </c>
      <c r="E1272" t="s">
        <v>11</v>
      </c>
      <c r="F1272" t="s">
        <v>13</v>
      </c>
      <c r="G1272">
        <v>3292.5298499999999</v>
      </c>
    </row>
    <row r="1273" spans="1:7" x14ac:dyDescent="0.25">
      <c r="A1273">
        <v>25</v>
      </c>
      <c r="B1273" t="s">
        <v>7</v>
      </c>
      <c r="C1273">
        <v>34.484999999999999</v>
      </c>
      <c r="D1273">
        <v>0</v>
      </c>
      <c r="E1273" t="s">
        <v>11</v>
      </c>
      <c r="F1273" t="s">
        <v>13</v>
      </c>
      <c r="G1273">
        <v>3021.80915</v>
      </c>
    </row>
    <row r="1274" spans="1:7" x14ac:dyDescent="0.25">
      <c r="A1274">
        <v>43</v>
      </c>
      <c r="B1274" t="s">
        <v>10</v>
      </c>
      <c r="C1274">
        <v>25.52</v>
      </c>
      <c r="D1274">
        <v>5</v>
      </c>
      <c r="E1274" t="s">
        <v>11</v>
      </c>
      <c r="F1274" t="s">
        <v>12</v>
      </c>
      <c r="G1274">
        <v>14478.33015</v>
      </c>
    </row>
    <row r="1275" spans="1:7" x14ac:dyDescent="0.25">
      <c r="A1275">
        <v>35</v>
      </c>
      <c r="B1275" t="s">
        <v>10</v>
      </c>
      <c r="C1275">
        <v>27.61</v>
      </c>
      <c r="D1275">
        <v>1</v>
      </c>
      <c r="E1275" t="s">
        <v>11</v>
      </c>
      <c r="F1275" t="s">
        <v>12</v>
      </c>
      <c r="G1275">
        <v>4747.0528999999997</v>
      </c>
    </row>
    <row r="1276" spans="1:7" x14ac:dyDescent="0.25">
      <c r="A1276">
        <v>26</v>
      </c>
      <c r="B1276" t="s">
        <v>10</v>
      </c>
      <c r="C1276">
        <v>27.06</v>
      </c>
      <c r="D1276">
        <v>0</v>
      </c>
      <c r="E1276" t="s">
        <v>8</v>
      </c>
      <c r="F1276" t="s">
        <v>12</v>
      </c>
      <c r="G1276">
        <v>17043.341400000001</v>
      </c>
    </row>
    <row r="1277" spans="1:7" x14ac:dyDescent="0.25">
      <c r="A1277">
        <v>57</v>
      </c>
      <c r="B1277" t="s">
        <v>10</v>
      </c>
      <c r="C1277">
        <v>23.7</v>
      </c>
      <c r="D1277">
        <v>0</v>
      </c>
      <c r="E1277" t="s">
        <v>11</v>
      </c>
      <c r="F1277" t="s">
        <v>9</v>
      </c>
      <c r="G1277">
        <v>10959.33</v>
      </c>
    </row>
    <row r="1278" spans="1:7" x14ac:dyDescent="0.25">
      <c r="A1278">
        <v>22</v>
      </c>
      <c r="B1278" t="s">
        <v>7</v>
      </c>
      <c r="C1278">
        <v>30.4</v>
      </c>
      <c r="D1278">
        <v>0</v>
      </c>
      <c r="E1278" t="s">
        <v>11</v>
      </c>
      <c r="F1278" t="s">
        <v>14</v>
      </c>
      <c r="G1278">
        <v>2741.9479999999999</v>
      </c>
    </row>
    <row r="1279" spans="1:7" x14ac:dyDescent="0.25">
      <c r="A1279">
        <v>32</v>
      </c>
      <c r="B1279" t="s">
        <v>7</v>
      </c>
      <c r="C1279">
        <v>29.734999999999999</v>
      </c>
      <c r="D1279">
        <v>0</v>
      </c>
      <c r="E1279" t="s">
        <v>11</v>
      </c>
      <c r="F1279" t="s">
        <v>13</v>
      </c>
      <c r="G1279">
        <v>4357.0436499999996</v>
      </c>
    </row>
    <row r="1280" spans="1:7" x14ac:dyDescent="0.25">
      <c r="A1280">
        <v>39</v>
      </c>
      <c r="B1280" t="s">
        <v>10</v>
      </c>
      <c r="C1280">
        <v>29.925000000000001</v>
      </c>
      <c r="D1280">
        <v>1</v>
      </c>
      <c r="E1280" t="s">
        <v>8</v>
      </c>
      <c r="F1280" t="s">
        <v>14</v>
      </c>
      <c r="G1280">
        <v>22462.043750000001</v>
      </c>
    </row>
    <row r="1281" spans="1:7" x14ac:dyDescent="0.25">
      <c r="A1281">
        <v>25</v>
      </c>
      <c r="B1281" t="s">
        <v>7</v>
      </c>
      <c r="C1281">
        <v>26.79</v>
      </c>
      <c r="D1281">
        <v>2</v>
      </c>
      <c r="E1281" t="s">
        <v>11</v>
      </c>
      <c r="F1281" t="s">
        <v>13</v>
      </c>
      <c r="G1281">
        <v>4189.1130999999996</v>
      </c>
    </row>
    <row r="1282" spans="1:7" x14ac:dyDescent="0.25">
      <c r="A1282">
        <v>48</v>
      </c>
      <c r="B1282" t="s">
        <v>7</v>
      </c>
      <c r="C1282">
        <v>33.33</v>
      </c>
      <c r="D1282">
        <v>0</v>
      </c>
      <c r="E1282" t="s">
        <v>11</v>
      </c>
      <c r="F1282" t="s">
        <v>12</v>
      </c>
      <c r="G1282">
        <v>8283.6807000000008</v>
      </c>
    </row>
    <row r="1283" spans="1:7" x14ac:dyDescent="0.25">
      <c r="A1283">
        <v>47</v>
      </c>
      <c r="B1283" t="s">
        <v>7</v>
      </c>
      <c r="C1283">
        <v>27.645</v>
      </c>
      <c r="D1283">
        <v>2</v>
      </c>
      <c r="E1283" t="s">
        <v>8</v>
      </c>
      <c r="F1283" t="s">
        <v>13</v>
      </c>
      <c r="G1283">
        <v>24535.698550000001</v>
      </c>
    </row>
    <row r="1284" spans="1:7" x14ac:dyDescent="0.25">
      <c r="A1284">
        <v>18</v>
      </c>
      <c r="B1284" t="s">
        <v>7</v>
      </c>
      <c r="C1284">
        <v>21.66</v>
      </c>
      <c r="D1284">
        <v>0</v>
      </c>
      <c r="E1284" t="s">
        <v>8</v>
      </c>
      <c r="F1284" t="s">
        <v>14</v>
      </c>
      <c r="G1284">
        <v>14283.4594</v>
      </c>
    </row>
    <row r="1285" spans="1:7" x14ac:dyDescent="0.25">
      <c r="A1285">
        <v>18</v>
      </c>
      <c r="B1285" t="s">
        <v>10</v>
      </c>
      <c r="C1285">
        <v>30.03</v>
      </c>
      <c r="D1285">
        <v>1</v>
      </c>
      <c r="E1285" t="s">
        <v>11</v>
      </c>
      <c r="F1285" t="s">
        <v>12</v>
      </c>
      <c r="G1285">
        <v>1720.3536999999999</v>
      </c>
    </row>
    <row r="1286" spans="1:7" x14ac:dyDescent="0.25">
      <c r="A1286">
        <v>61</v>
      </c>
      <c r="B1286" t="s">
        <v>10</v>
      </c>
      <c r="C1286">
        <v>36.299999999999997</v>
      </c>
      <c r="D1286">
        <v>1</v>
      </c>
      <c r="E1286" t="s">
        <v>8</v>
      </c>
      <c r="F1286" t="s">
        <v>9</v>
      </c>
      <c r="G1286">
        <v>47403.88</v>
      </c>
    </row>
    <row r="1287" spans="1:7" x14ac:dyDescent="0.25">
      <c r="A1287">
        <v>47</v>
      </c>
      <c r="B1287" t="s">
        <v>7</v>
      </c>
      <c r="C1287">
        <v>24.32</v>
      </c>
      <c r="D1287">
        <v>0</v>
      </c>
      <c r="E1287" t="s">
        <v>11</v>
      </c>
      <c r="F1287" t="s">
        <v>14</v>
      </c>
      <c r="G1287">
        <v>8534.6718000000001</v>
      </c>
    </row>
    <row r="1288" spans="1:7" x14ac:dyDescent="0.25">
      <c r="A1288">
        <v>28</v>
      </c>
      <c r="B1288" t="s">
        <v>7</v>
      </c>
      <c r="C1288">
        <v>17.29</v>
      </c>
      <c r="D1288">
        <v>0</v>
      </c>
      <c r="E1288" t="s">
        <v>11</v>
      </c>
      <c r="F1288" t="s">
        <v>14</v>
      </c>
      <c r="G1288">
        <v>3732.6251000000002</v>
      </c>
    </row>
    <row r="1289" spans="1:7" x14ac:dyDescent="0.25">
      <c r="A1289">
        <v>36</v>
      </c>
      <c r="B1289" t="s">
        <v>7</v>
      </c>
      <c r="C1289">
        <v>25.9</v>
      </c>
      <c r="D1289">
        <v>1</v>
      </c>
      <c r="E1289" t="s">
        <v>11</v>
      </c>
      <c r="F1289" t="s">
        <v>9</v>
      </c>
      <c r="G1289">
        <v>5472.4489999999996</v>
      </c>
    </row>
    <row r="1290" spans="1:7" x14ac:dyDescent="0.25">
      <c r="A1290">
        <v>20</v>
      </c>
      <c r="B1290" t="s">
        <v>10</v>
      </c>
      <c r="C1290">
        <v>39.4</v>
      </c>
      <c r="D1290">
        <v>2</v>
      </c>
      <c r="E1290" t="s">
        <v>8</v>
      </c>
      <c r="F1290" t="s">
        <v>9</v>
      </c>
      <c r="G1290">
        <v>38344.565999999999</v>
      </c>
    </row>
    <row r="1291" spans="1:7" x14ac:dyDescent="0.25">
      <c r="A1291">
        <v>44</v>
      </c>
      <c r="B1291" t="s">
        <v>10</v>
      </c>
      <c r="C1291">
        <v>34.32</v>
      </c>
      <c r="D1291">
        <v>1</v>
      </c>
      <c r="E1291" t="s">
        <v>11</v>
      </c>
      <c r="F1291" t="s">
        <v>12</v>
      </c>
      <c r="G1291">
        <v>7147.4727999999996</v>
      </c>
    </row>
    <row r="1292" spans="1:7" x14ac:dyDescent="0.25">
      <c r="A1292">
        <v>38</v>
      </c>
      <c r="B1292" t="s">
        <v>7</v>
      </c>
      <c r="C1292">
        <v>19.95</v>
      </c>
      <c r="D1292">
        <v>2</v>
      </c>
      <c r="E1292" t="s">
        <v>11</v>
      </c>
      <c r="F1292" t="s">
        <v>14</v>
      </c>
      <c r="G1292">
        <v>7133.9025000000001</v>
      </c>
    </row>
    <row r="1293" spans="1:7" x14ac:dyDescent="0.25">
      <c r="A1293">
        <v>19</v>
      </c>
      <c r="B1293" t="s">
        <v>10</v>
      </c>
      <c r="C1293">
        <v>34.9</v>
      </c>
      <c r="D1293">
        <v>0</v>
      </c>
      <c r="E1293" t="s">
        <v>8</v>
      </c>
      <c r="F1293" t="s">
        <v>9</v>
      </c>
      <c r="G1293">
        <v>34828.654000000002</v>
      </c>
    </row>
    <row r="1294" spans="1:7" x14ac:dyDescent="0.25">
      <c r="A1294">
        <v>21</v>
      </c>
      <c r="B1294" t="s">
        <v>10</v>
      </c>
      <c r="C1294">
        <v>23.21</v>
      </c>
      <c r="D1294">
        <v>0</v>
      </c>
      <c r="E1294" t="s">
        <v>11</v>
      </c>
      <c r="F1294" t="s">
        <v>12</v>
      </c>
      <c r="G1294">
        <v>1515.3449000000001</v>
      </c>
    </row>
    <row r="1295" spans="1:7" x14ac:dyDescent="0.25">
      <c r="A1295">
        <v>46</v>
      </c>
      <c r="B1295" t="s">
        <v>10</v>
      </c>
      <c r="C1295">
        <v>25.745000000000001</v>
      </c>
      <c r="D1295">
        <v>3</v>
      </c>
      <c r="E1295" t="s">
        <v>11</v>
      </c>
      <c r="F1295" t="s">
        <v>13</v>
      </c>
      <c r="G1295">
        <v>9301.8935500000007</v>
      </c>
    </row>
    <row r="1296" spans="1:7" x14ac:dyDescent="0.25">
      <c r="A1296">
        <v>58</v>
      </c>
      <c r="B1296" t="s">
        <v>10</v>
      </c>
      <c r="C1296">
        <v>25.175000000000001</v>
      </c>
      <c r="D1296">
        <v>0</v>
      </c>
      <c r="E1296" t="s">
        <v>11</v>
      </c>
      <c r="F1296" t="s">
        <v>14</v>
      </c>
      <c r="G1296">
        <v>11931.125249999999</v>
      </c>
    </row>
    <row r="1297" spans="1:7" x14ac:dyDescent="0.25">
      <c r="A1297">
        <v>20</v>
      </c>
      <c r="B1297" t="s">
        <v>10</v>
      </c>
      <c r="C1297">
        <v>22</v>
      </c>
      <c r="D1297">
        <v>1</v>
      </c>
      <c r="E1297" t="s">
        <v>11</v>
      </c>
      <c r="F1297" t="s">
        <v>9</v>
      </c>
      <c r="G1297">
        <v>1964.78</v>
      </c>
    </row>
    <row r="1298" spans="1:7" x14ac:dyDescent="0.25">
      <c r="A1298">
        <v>18</v>
      </c>
      <c r="B1298" t="s">
        <v>10</v>
      </c>
      <c r="C1298">
        <v>26.125</v>
      </c>
      <c r="D1298">
        <v>0</v>
      </c>
      <c r="E1298" t="s">
        <v>11</v>
      </c>
      <c r="F1298" t="s">
        <v>14</v>
      </c>
      <c r="G1298">
        <v>1708.9257500000001</v>
      </c>
    </row>
    <row r="1299" spans="1:7" x14ac:dyDescent="0.25">
      <c r="A1299">
        <v>28</v>
      </c>
      <c r="B1299" t="s">
        <v>7</v>
      </c>
      <c r="C1299">
        <v>26.51</v>
      </c>
      <c r="D1299">
        <v>2</v>
      </c>
      <c r="E1299" t="s">
        <v>11</v>
      </c>
      <c r="F1299" t="s">
        <v>12</v>
      </c>
      <c r="G1299">
        <v>4340.4408999999996</v>
      </c>
    </row>
    <row r="1300" spans="1:7" x14ac:dyDescent="0.25">
      <c r="A1300">
        <v>33</v>
      </c>
      <c r="B1300" t="s">
        <v>10</v>
      </c>
      <c r="C1300">
        <v>27.454999999999998</v>
      </c>
      <c r="D1300">
        <v>2</v>
      </c>
      <c r="E1300" t="s">
        <v>11</v>
      </c>
      <c r="F1300" t="s">
        <v>13</v>
      </c>
      <c r="G1300">
        <v>5261.4694499999996</v>
      </c>
    </row>
    <row r="1301" spans="1:7" x14ac:dyDescent="0.25">
      <c r="A1301">
        <v>19</v>
      </c>
      <c r="B1301" t="s">
        <v>7</v>
      </c>
      <c r="C1301">
        <v>25.745000000000001</v>
      </c>
      <c r="D1301">
        <v>1</v>
      </c>
      <c r="E1301" t="s">
        <v>11</v>
      </c>
      <c r="F1301" t="s">
        <v>13</v>
      </c>
      <c r="G1301">
        <v>2710.8285500000002</v>
      </c>
    </row>
    <row r="1302" spans="1:7" x14ac:dyDescent="0.25">
      <c r="A1302">
        <v>45</v>
      </c>
      <c r="B1302" t="s">
        <v>10</v>
      </c>
      <c r="C1302">
        <v>30.36</v>
      </c>
      <c r="D1302">
        <v>0</v>
      </c>
      <c r="E1302" t="s">
        <v>8</v>
      </c>
      <c r="F1302" t="s">
        <v>12</v>
      </c>
      <c r="G1302">
        <v>62592.873090000001</v>
      </c>
    </row>
    <row r="1303" spans="1:7" x14ac:dyDescent="0.25">
      <c r="A1303">
        <v>62</v>
      </c>
      <c r="B1303" t="s">
        <v>10</v>
      </c>
      <c r="C1303">
        <v>30.875</v>
      </c>
      <c r="D1303">
        <v>3</v>
      </c>
      <c r="E1303" t="s">
        <v>8</v>
      </c>
      <c r="F1303" t="s">
        <v>13</v>
      </c>
      <c r="G1303">
        <v>46718.163249999998</v>
      </c>
    </row>
    <row r="1304" spans="1:7" x14ac:dyDescent="0.25">
      <c r="A1304">
        <v>25</v>
      </c>
      <c r="B1304" t="s">
        <v>7</v>
      </c>
      <c r="C1304">
        <v>20.8</v>
      </c>
      <c r="D1304">
        <v>1</v>
      </c>
      <c r="E1304" t="s">
        <v>11</v>
      </c>
      <c r="F1304" t="s">
        <v>9</v>
      </c>
      <c r="G1304">
        <v>3208.7869999999998</v>
      </c>
    </row>
    <row r="1305" spans="1:7" x14ac:dyDescent="0.25">
      <c r="A1305">
        <v>43</v>
      </c>
      <c r="B1305" t="s">
        <v>10</v>
      </c>
      <c r="C1305">
        <v>27.8</v>
      </c>
      <c r="D1305">
        <v>0</v>
      </c>
      <c r="E1305" t="s">
        <v>8</v>
      </c>
      <c r="F1305" t="s">
        <v>9</v>
      </c>
      <c r="G1305">
        <v>37829.724199999997</v>
      </c>
    </row>
    <row r="1306" spans="1:7" x14ac:dyDescent="0.25">
      <c r="A1306">
        <v>42</v>
      </c>
      <c r="B1306" t="s">
        <v>10</v>
      </c>
      <c r="C1306">
        <v>24.605</v>
      </c>
      <c r="D1306">
        <v>2</v>
      </c>
      <c r="E1306" t="s">
        <v>8</v>
      </c>
      <c r="F1306" t="s">
        <v>14</v>
      </c>
      <c r="G1306">
        <v>21259.377949999998</v>
      </c>
    </row>
    <row r="1307" spans="1:7" x14ac:dyDescent="0.25">
      <c r="A1307">
        <v>24</v>
      </c>
      <c r="B1307" t="s">
        <v>7</v>
      </c>
      <c r="C1307">
        <v>27.72</v>
      </c>
      <c r="D1307">
        <v>0</v>
      </c>
      <c r="E1307" t="s">
        <v>11</v>
      </c>
      <c r="F1307" t="s">
        <v>12</v>
      </c>
      <c r="G1307">
        <v>2464.6188000000002</v>
      </c>
    </row>
    <row r="1308" spans="1:7" x14ac:dyDescent="0.25">
      <c r="A1308">
        <v>29</v>
      </c>
      <c r="B1308" t="s">
        <v>7</v>
      </c>
      <c r="C1308">
        <v>21.85</v>
      </c>
      <c r="D1308">
        <v>0</v>
      </c>
      <c r="E1308" t="s">
        <v>8</v>
      </c>
      <c r="F1308" t="s">
        <v>14</v>
      </c>
      <c r="G1308">
        <v>16115.3045</v>
      </c>
    </row>
    <row r="1309" spans="1:7" x14ac:dyDescent="0.25">
      <c r="A1309">
        <v>32</v>
      </c>
      <c r="B1309" t="s">
        <v>10</v>
      </c>
      <c r="C1309">
        <v>28.12</v>
      </c>
      <c r="D1309">
        <v>4</v>
      </c>
      <c r="E1309" t="s">
        <v>8</v>
      </c>
      <c r="F1309" t="s">
        <v>13</v>
      </c>
      <c r="G1309">
        <v>21472.478800000001</v>
      </c>
    </row>
    <row r="1310" spans="1:7" x14ac:dyDescent="0.25">
      <c r="A1310">
        <v>25</v>
      </c>
      <c r="B1310" t="s">
        <v>7</v>
      </c>
      <c r="C1310">
        <v>30.2</v>
      </c>
      <c r="D1310">
        <v>0</v>
      </c>
      <c r="E1310" t="s">
        <v>8</v>
      </c>
      <c r="F1310" t="s">
        <v>9</v>
      </c>
      <c r="G1310">
        <v>33900.652999999998</v>
      </c>
    </row>
    <row r="1311" spans="1:7" x14ac:dyDescent="0.25">
      <c r="A1311">
        <v>41</v>
      </c>
      <c r="B1311" t="s">
        <v>10</v>
      </c>
      <c r="C1311">
        <v>32.200000000000003</v>
      </c>
      <c r="D1311">
        <v>2</v>
      </c>
      <c r="E1311" t="s">
        <v>11</v>
      </c>
      <c r="F1311" t="s">
        <v>9</v>
      </c>
      <c r="G1311">
        <v>6875.9610000000002</v>
      </c>
    </row>
    <row r="1312" spans="1:7" x14ac:dyDescent="0.25">
      <c r="A1312">
        <v>42</v>
      </c>
      <c r="B1312" t="s">
        <v>10</v>
      </c>
      <c r="C1312">
        <v>26.315000000000001</v>
      </c>
      <c r="D1312">
        <v>1</v>
      </c>
      <c r="E1312" t="s">
        <v>11</v>
      </c>
      <c r="F1312" t="s">
        <v>13</v>
      </c>
      <c r="G1312">
        <v>6940.90985</v>
      </c>
    </row>
    <row r="1313" spans="1:7" x14ac:dyDescent="0.25">
      <c r="A1313">
        <v>33</v>
      </c>
      <c r="B1313" t="s">
        <v>7</v>
      </c>
      <c r="C1313">
        <v>26.695</v>
      </c>
      <c r="D1313">
        <v>0</v>
      </c>
      <c r="E1313" t="s">
        <v>11</v>
      </c>
      <c r="F1313" t="s">
        <v>13</v>
      </c>
      <c r="G1313">
        <v>4571.4130500000001</v>
      </c>
    </row>
    <row r="1314" spans="1:7" x14ac:dyDescent="0.25">
      <c r="A1314">
        <v>34</v>
      </c>
      <c r="B1314" t="s">
        <v>10</v>
      </c>
      <c r="C1314">
        <v>42.9</v>
      </c>
      <c r="D1314">
        <v>1</v>
      </c>
      <c r="E1314" t="s">
        <v>11</v>
      </c>
      <c r="F1314" t="s">
        <v>9</v>
      </c>
      <c r="G1314">
        <v>4536.259</v>
      </c>
    </row>
    <row r="1315" spans="1:7" x14ac:dyDescent="0.25">
      <c r="A1315">
        <v>19</v>
      </c>
      <c r="B1315" t="s">
        <v>7</v>
      </c>
      <c r="C1315">
        <v>34.700000000000003</v>
      </c>
      <c r="D1315">
        <v>2</v>
      </c>
      <c r="E1315" t="s">
        <v>8</v>
      </c>
      <c r="F1315" t="s">
        <v>9</v>
      </c>
      <c r="G1315">
        <v>36397.576000000001</v>
      </c>
    </row>
    <row r="1316" spans="1:7" x14ac:dyDescent="0.25">
      <c r="A1316">
        <v>30</v>
      </c>
      <c r="B1316" t="s">
        <v>7</v>
      </c>
      <c r="C1316">
        <v>23.655000000000001</v>
      </c>
      <c r="D1316">
        <v>3</v>
      </c>
      <c r="E1316" t="s">
        <v>8</v>
      </c>
      <c r="F1316" t="s">
        <v>13</v>
      </c>
      <c r="G1316">
        <v>18765.87545</v>
      </c>
    </row>
    <row r="1317" spans="1:7" x14ac:dyDescent="0.25">
      <c r="A1317">
        <v>18</v>
      </c>
      <c r="B1317" t="s">
        <v>10</v>
      </c>
      <c r="C1317">
        <v>28.31</v>
      </c>
      <c r="D1317">
        <v>1</v>
      </c>
      <c r="E1317" t="s">
        <v>11</v>
      </c>
      <c r="F1317" t="s">
        <v>14</v>
      </c>
      <c r="G1317">
        <v>11272.331389999999</v>
      </c>
    </row>
    <row r="1318" spans="1:7" x14ac:dyDescent="0.25">
      <c r="A1318">
        <v>19</v>
      </c>
      <c r="B1318" t="s">
        <v>7</v>
      </c>
      <c r="C1318">
        <v>20.6</v>
      </c>
      <c r="D1318">
        <v>0</v>
      </c>
      <c r="E1318" t="s">
        <v>11</v>
      </c>
      <c r="F1318" t="s">
        <v>9</v>
      </c>
      <c r="G1318">
        <v>1731.6769999999999</v>
      </c>
    </row>
    <row r="1319" spans="1:7" x14ac:dyDescent="0.25">
      <c r="A1319">
        <v>18</v>
      </c>
      <c r="B1319" t="s">
        <v>10</v>
      </c>
      <c r="C1319">
        <v>53.13</v>
      </c>
      <c r="D1319">
        <v>0</v>
      </c>
      <c r="E1319" t="s">
        <v>11</v>
      </c>
      <c r="F1319" t="s">
        <v>12</v>
      </c>
      <c r="G1319">
        <v>1163.4627</v>
      </c>
    </row>
    <row r="1320" spans="1:7" x14ac:dyDescent="0.25">
      <c r="A1320">
        <v>35</v>
      </c>
      <c r="B1320" t="s">
        <v>10</v>
      </c>
      <c r="C1320">
        <v>39.71</v>
      </c>
      <c r="D1320">
        <v>4</v>
      </c>
      <c r="E1320" t="s">
        <v>11</v>
      </c>
      <c r="F1320" t="s">
        <v>14</v>
      </c>
      <c r="G1320">
        <v>19496.71917</v>
      </c>
    </row>
    <row r="1321" spans="1:7" x14ac:dyDescent="0.25">
      <c r="A1321">
        <v>39</v>
      </c>
      <c r="B1321" t="s">
        <v>7</v>
      </c>
      <c r="C1321">
        <v>26.315000000000001</v>
      </c>
      <c r="D1321">
        <v>2</v>
      </c>
      <c r="E1321" t="s">
        <v>11</v>
      </c>
      <c r="F1321" t="s">
        <v>13</v>
      </c>
      <c r="G1321">
        <v>7201.7008500000002</v>
      </c>
    </row>
    <row r="1322" spans="1:7" x14ac:dyDescent="0.25">
      <c r="A1322">
        <v>31</v>
      </c>
      <c r="B1322" t="s">
        <v>10</v>
      </c>
      <c r="C1322">
        <v>31.065000000000001</v>
      </c>
      <c r="D1322">
        <v>3</v>
      </c>
      <c r="E1322" t="s">
        <v>11</v>
      </c>
      <c r="F1322" t="s">
        <v>13</v>
      </c>
      <c r="G1322">
        <v>5425.0233500000004</v>
      </c>
    </row>
    <row r="1323" spans="1:7" x14ac:dyDescent="0.25">
      <c r="A1323">
        <v>62</v>
      </c>
      <c r="B1323" t="s">
        <v>10</v>
      </c>
      <c r="C1323">
        <v>26.695</v>
      </c>
      <c r="D1323">
        <v>0</v>
      </c>
      <c r="E1323" t="s">
        <v>8</v>
      </c>
      <c r="F1323" t="s">
        <v>14</v>
      </c>
      <c r="G1323">
        <v>28101.333050000001</v>
      </c>
    </row>
    <row r="1324" spans="1:7" x14ac:dyDescent="0.25">
      <c r="A1324">
        <v>62</v>
      </c>
      <c r="B1324" t="s">
        <v>10</v>
      </c>
      <c r="C1324">
        <v>38.83</v>
      </c>
      <c r="D1324">
        <v>0</v>
      </c>
      <c r="E1324" t="s">
        <v>11</v>
      </c>
      <c r="F1324" t="s">
        <v>12</v>
      </c>
      <c r="G1324">
        <v>12981.3457</v>
      </c>
    </row>
    <row r="1325" spans="1:7" x14ac:dyDescent="0.25">
      <c r="A1325">
        <v>42</v>
      </c>
      <c r="B1325" t="s">
        <v>7</v>
      </c>
      <c r="C1325">
        <v>40.369999999999997</v>
      </c>
      <c r="D1325">
        <v>2</v>
      </c>
      <c r="E1325" t="s">
        <v>8</v>
      </c>
      <c r="F1325" t="s">
        <v>12</v>
      </c>
      <c r="G1325">
        <v>43896.376300000004</v>
      </c>
    </row>
    <row r="1326" spans="1:7" x14ac:dyDescent="0.25">
      <c r="A1326">
        <v>31</v>
      </c>
      <c r="B1326" t="s">
        <v>10</v>
      </c>
      <c r="C1326">
        <v>25.934999999999999</v>
      </c>
      <c r="D1326">
        <v>1</v>
      </c>
      <c r="E1326" t="s">
        <v>11</v>
      </c>
      <c r="F1326" t="s">
        <v>13</v>
      </c>
      <c r="G1326">
        <v>4239.8926499999998</v>
      </c>
    </row>
    <row r="1327" spans="1:7" x14ac:dyDescent="0.25">
      <c r="A1327">
        <v>61</v>
      </c>
      <c r="B1327" t="s">
        <v>10</v>
      </c>
      <c r="C1327">
        <v>33.534999999999997</v>
      </c>
      <c r="D1327">
        <v>0</v>
      </c>
      <c r="E1327" t="s">
        <v>11</v>
      </c>
      <c r="F1327" t="s">
        <v>14</v>
      </c>
      <c r="G1327">
        <v>13143.336649999999</v>
      </c>
    </row>
    <row r="1328" spans="1:7" x14ac:dyDescent="0.25">
      <c r="A1328">
        <v>42</v>
      </c>
      <c r="B1328" t="s">
        <v>7</v>
      </c>
      <c r="C1328">
        <v>32.869999999999997</v>
      </c>
      <c r="D1328">
        <v>0</v>
      </c>
      <c r="E1328" t="s">
        <v>11</v>
      </c>
      <c r="F1328" t="s">
        <v>14</v>
      </c>
      <c r="G1328">
        <v>7050.0213000000003</v>
      </c>
    </row>
    <row r="1329" spans="1:7" x14ac:dyDescent="0.25">
      <c r="A1329">
        <v>51</v>
      </c>
      <c r="B1329" t="s">
        <v>10</v>
      </c>
      <c r="C1329">
        <v>30.03</v>
      </c>
      <c r="D1329">
        <v>1</v>
      </c>
      <c r="E1329" t="s">
        <v>11</v>
      </c>
      <c r="F1329" t="s">
        <v>12</v>
      </c>
      <c r="G1329">
        <v>9377.9046999999991</v>
      </c>
    </row>
    <row r="1330" spans="1:7" x14ac:dyDescent="0.25">
      <c r="A1330">
        <v>23</v>
      </c>
      <c r="B1330" t="s">
        <v>7</v>
      </c>
      <c r="C1330">
        <v>24.225000000000001</v>
      </c>
      <c r="D1330">
        <v>2</v>
      </c>
      <c r="E1330" t="s">
        <v>11</v>
      </c>
      <c r="F1330" t="s">
        <v>14</v>
      </c>
      <c r="G1330">
        <v>22395.74424</v>
      </c>
    </row>
    <row r="1331" spans="1:7" x14ac:dyDescent="0.25">
      <c r="A1331">
        <v>52</v>
      </c>
      <c r="B1331" t="s">
        <v>10</v>
      </c>
      <c r="C1331">
        <v>38.6</v>
      </c>
      <c r="D1331">
        <v>2</v>
      </c>
      <c r="E1331" t="s">
        <v>11</v>
      </c>
      <c r="F1331" t="s">
        <v>9</v>
      </c>
      <c r="G1331">
        <v>10325.206</v>
      </c>
    </row>
    <row r="1332" spans="1:7" x14ac:dyDescent="0.25">
      <c r="A1332">
        <v>57</v>
      </c>
      <c r="B1332" t="s">
        <v>7</v>
      </c>
      <c r="C1332">
        <v>25.74</v>
      </c>
      <c r="D1332">
        <v>2</v>
      </c>
      <c r="E1332" t="s">
        <v>11</v>
      </c>
      <c r="F1332" t="s">
        <v>12</v>
      </c>
      <c r="G1332">
        <v>12629.1656</v>
      </c>
    </row>
    <row r="1333" spans="1:7" x14ac:dyDescent="0.25">
      <c r="A1333">
        <v>23</v>
      </c>
      <c r="B1333" t="s">
        <v>7</v>
      </c>
      <c r="C1333">
        <v>33.4</v>
      </c>
      <c r="D1333">
        <v>0</v>
      </c>
      <c r="E1333" t="s">
        <v>11</v>
      </c>
      <c r="F1333" t="s">
        <v>9</v>
      </c>
      <c r="G1333">
        <v>10795.937330000001</v>
      </c>
    </row>
    <row r="1334" spans="1:7" x14ac:dyDescent="0.25">
      <c r="A1334">
        <v>52</v>
      </c>
      <c r="B1334" t="s">
        <v>7</v>
      </c>
      <c r="C1334">
        <v>44.7</v>
      </c>
      <c r="D1334">
        <v>3</v>
      </c>
      <c r="E1334" t="s">
        <v>11</v>
      </c>
      <c r="F1334" t="s">
        <v>9</v>
      </c>
      <c r="G1334">
        <v>11411.684999999999</v>
      </c>
    </row>
    <row r="1335" spans="1:7" x14ac:dyDescent="0.25">
      <c r="A1335">
        <v>50</v>
      </c>
      <c r="B1335" t="s">
        <v>10</v>
      </c>
      <c r="C1335">
        <v>30.97</v>
      </c>
      <c r="D1335">
        <v>3</v>
      </c>
      <c r="E1335" t="s">
        <v>11</v>
      </c>
      <c r="F1335" t="s">
        <v>13</v>
      </c>
      <c r="G1335">
        <v>10600.5483</v>
      </c>
    </row>
    <row r="1336" spans="1:7" x14ac:dyDescent="0.25">
      <c r="A1336">
        <v>18</v>
      </c>
      <c r="B1336" t="s">
        <v>7</v>
      </c>
      <c r="C1336">
        <v>31.92</v>
      </c>
      <c r="D1336">
        <v>0</v>
      </c>
      <c r="E1336" t="s">
        <v>11</v>
      </c>
      <c r="F1336" t="s">
        <v>14</v>
      </c>
      <c r="G1336">
        <v>2205.9807999999998</v>
      </c>
    </row>
    <row r="1337" spans="1:7" x14ac:dyDescent="0.25">
      <c r="A1337">
        <v>18</v>
      </c>
      <c r="B1337" t="s">
        <v>7</v>
      </c>
      <c r="C1337">
        <v>36.85</v>
      </c>
      <c r="D1337">
        <v>0</v>
      </c>
      <c r="E1337" t="s">
        <v>11</v>
      </c>
      <c r="F1337" t="s">
        <v>12</v>
      </c>
      <c r="G1337">
        <v>1629.8335</v>
      </c>
    </row>
    <row r="1338" spans="1:7" x14ac:dyDescent="0.25">
      <c r="A1338">
        <v>21</v>
      </c>
      <c r="B1338" t="s">
        <v>7</v>
      </c>
      <c r="C1338">
        <v>25.8</v>
      </c>
      <c r="D1338">
        <v>0</v>
      </c>
      <c r="E1338" t="s">
        <v>11</v>
      </c>
      <c r="F1338" t="s">
        <v>9</v>
      </c>
      <c r="G1338">
        <v>2007.9449999999999</v>
      </c>
    </row>
    <row r="1339" spans="1:7" x14ac:dyDescent="0.25">
      <c r="A1339">
        <v>61</v>
      </c>
      <c r="B1339" t="s">
        <v>7</v>
      </c>
      <c r="C1339">
        <v>29.07</v>
      </c>
      <c r="D1339">
        <v>0</v>
      </c>
      <c r="E1339" t="s">
        <v>8</v>
      </c>
      <c r="F1339" t="s">
        <v>13</v>
      </c>
      <c r="G1339">
        <v>29141.3603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DF3E7-2259-4A9B-9F9D-33B64C912636}">
  <dimension ref="A1:J1339"/>
  <sheetViews>
    <sheetView workbookViewId="0">
      <selection activeCell="M30" sqref="M30"/>
    </sheetView>
  </sheetViews>
  <sheetFormatPr defaultRowHeight="15" x14ac:dyDescent="0.25"/>
  <cols>
    <col min="4" max="4" width="10.5703125" customWidth="1"/>
    <col min="5" max="5" width="9.85546875" customWidth="1"/>
    <col min="7" max="7" width="10.140625" customWidth="1"/>
    <col min="8" max="8" width="12.5703125" bestFit="1" customWidth="1"/>
    <col min="9" max="9" width="15.140625" bestFit="1" customWidth="1"/>
    <col min="10" max="10" width="20.85546875" bestFit="1" customWidth="1"/>
  </cols>
  <sheetData>
    <row r="1" spans="1:10" x14ac:dyDescent="0.25">
      <c r="A1" t="s">
        <v>0</v>
      </c>
      <c r="B1" t="s">
        <v>1</v>
      </c>
      <c r="C1" t="s">
        <v>2</v>
      </c>
      <c r="D1" t="s">
        <v>3</v>
      </c>
      <c r="E1" t="s">
        <v>4</v>
      </c>
      <c r="F1" t="s">
        <v>5</v>
      </c>
      <c r="G1" t="s">
        <v>6</v>
      </c>
      <c r="H1" t="s">
        <v>15</v>
      </c>
      <c r="I1" t="s">
        <v>16</v>
      </c>
      <c r="J1" t="s">
        <v>17</v>
      </c>
    </row>
    <row r="2" spans="1:10" x14ac:dyDescent="0.25">
      <c r="A2">
        <v>19</v>
      </c>
      <c r="B2" t="s">
        <v>7</v>
      </c>
      <c r="C2">
        <v>27.9</v>
      </c>
      <c r="D2">
        <v>0</v>
      </c>
      <c r="E2" t="s">
        <v>8</v>
      </c>
      <c r="F2" t="s">
        <v>9</v>
      </c>
      <c r="G2">
        <v>16884.923999999999</v>
      </c>
      <c r="H2" t="str">
        <f t="shared" ref="H2:H65" si="0">IF(A2&lt;30, "18-29", IF(A2&lt;40, "30-39", IF(A2&lt;50, "40-49", IF(A2&lt;60, "50-59", "60+"))))</f>
        <v>18-29</v>
      </c>
      <c r="I2" t="str">
        <f t="shared" ref="I2:I65" si="1">IF(C2&lt;18.5, "Underweight", IF(C2&lt;25, "Normal", IF(C2&lt;30,"Overweight","Obese")))</f>
        <v>Overweight</v>
      </c>
      <c r="J2" t="str">
        <f t="shared" ref="J2:J65" si="2">IF(G2&gt;20000,"Yes","No")</f>
        <v>No</v>
      </c>
    </row>
    <row r="3" spans="1:10" x14ac:dyDescent="0.25">
      <c r="A3">
        <v>18</v>
      </c>
      <c r="B3" t="s">
        <v>10</v>
      </c>
      <c r="C3">
        <v>33.770000000000003</v>
      </c>
      <c r="D3">
        <v>1</v>
      </c>
      <c r="E3" t="s">
        <v>11</v>
      </c>
      <c r="F3" t="s">
        <v>12</v>
      </c>
      <c r="G3">
        <v>1725.5523000000001</v>
      </c>
      <c r="H3" t="str">
        <f t="shared" si="0"/>
        <v>18-29</v>
      </c>
      <c r="I3" t="str">
        <f t="shared" si="1"/>
        <v>Obese</v>
      </c>
      <c r="J3" t="str">
        <f t="shared" si="2"/>
        <v>No</v>
      </c>
    </row>
    <row r="4" spans="1:10" x14ac:dyDescent="0.25">
      <c r="A4">
        <v>28</v>
      </c>
      <c r="B4" t="s">
        <v>10</v>
      </c>
      <c r="C4">
        <v>33</v>
      </c>
      <c r="D4">
        <v>3</v>
      </c>
      <c r="E4" t="s">
        <v>11</v>
      </c>
      <c r="F4" t="s">
        <v>12</v>
      </c>
      <c r="G4">
        <v>4449.4620000000004</v>
      </c>
      <c r="H4" t="str">
        <f t="shared" si="0"/>
        <v>18-29</v>
      </c>
      <c r="I4" t="str">
        <f t="shared" si="1"/>
        <v>Obese</v>
      </c>
      <c r="J4" t="str">
        <f t="shared" si="2"/>
        <v>No</v>
      </c>
    </row>
    <row r="5" spans="1:10" x14ac:dyDescent="0.25">
      <c r="A5">
        <v>33</v>
      </c>
      <c r="B5" t="s">
        <v>10</v>
      </c>
      <c r="C5">
        <v>22.704999999999998</v>
      </c>
      <c r="D5">
        <v>0</v>
      </c>
      <c r="E5" t="s">
        <v>11</v>
      </c>
      <c r="F5" t="s">
        <v>13</v>
      </c>
      <c r="G5">
        <v>21984.47061</v>
      </c>
      <c r="H5" t="str">
        <f t="shared" si="0"/>
        <v>30-39</v>
      </c>
      <c r="I5" t="str">
        <f t="shared" si="1"/>
        <v>Normal</v>
      </c>
      <c r="J5" t="str">
        <f t="shared" si="2"/>
        <v>Yes</v>
      </c>
    </row>
    <row r="6" spans="1:10" x14ac:dyDescent="0.25">
      <c r="A6">
        <v>32</v>
      </c>
      <c r="B6" t="s">
        <v>10</v>
      </c>
      <c r="C6">
        <v>28.88</v>
      </c>
      <c r="D6">
        <v>0</v>
      </c>
      <c r="E6" t="s">
        <v>11</v>
      </c>
      <c r="F6" t="s">
        <v>13</v>
      </c>
      <c r="G6">
        <v>3866.8552</v>
      </c>
      <c r="H6" t="str">
        <f t="shared" si="0"/>
        <v>30-39</v>
      </c>
      <c r="I6" t="str">
        <f t="shared" si="1"/>
        <v>Overweight</v>
      </c>
      <c r="J6" t="str">
        <f t="shared" si="2"/>
        <v>No</v>
      </c>
    </row>
    <row r="7" spans="1:10" x14ac:dyDescent="0.25">
      <c r="A7">
        <v>31</v>
      </c>
      <c r="B7" t="s">
        <v>7</v>
      </c>
      <c r="C7">
        <v>25.74</v>
      </c>
      <c r="D7">
        <v>0</v>
      </c>
      <c r="E7" t="s">
        <v>11</v>
      </c>
      <c r="F7" t="s">
        <v>12</v>
      </c>
      <c r="G7">
        <v>3756.6215999999999</v>
      </c>
      <c r="H7" t="str">
        <f t="shared" si="0"/>
        <v>30-39</v>
      </c>
      <c r="I7" t="str">
        <f t="shared" si="1"/>
        <v>Overweight</v>
      </c>
      <c r="J7" t="str">
        <f t="shared" si="2"/>
        <v>No</v>
      </c>
    </row>
    <row r="8" spans="1:10" x14ac:dyDescent="0.25">
      <c r="A8">
        <v>46</v>
      </c>
      <c r="B8" t="s">
        <v>7</v>
      </c>
      <c r="C8">
        <v>33.44</v>
      </c>
      <c r="D8">
        <v>1</v>
      </c>
      <c r="E8" t="s">
        <v>11</v>
      </c>
      <c r="F8" t="s">
        <v>12</v>
      </c>
      <c r="G8">
        <v>8240.5895999999993</v>
      </c>
      <c r="H8" t="str">
        <f t="shared" si="0"/>
        <v>40-49</v>
      </c>
      <c r="I8" t="str">
        <f t="shared" si="1"/>
        <v>Obese</v>
      </c>
      <c r="J8" t="str">
        <f t="shared" si="2"/>
        <v>No</v>
      </c>
    </row>
    <row r="9" spans="1:10" x14ac:dyDescent="0.25">
      <c r="A9">
        <v>37</v>
      </c>
      <c r="B9" t="s">
        <v>7</v>
      </c>
      <c r="C9">
        <v>27.74</v>
      </c>
      <c r="D9">
        <v>3</v>
      </c>
      <c r="E9" t="s">
        <v>11</v>
      </c>
      <c r="F9" t="s">
        <v>13</v>
      </c>
      <c r="G9">
        <v>7281.5056000000004</v>
      </c>
      <c r="H9" t="str">
        <f t="shared" si="0"/>
        <v>30-39</v>
      </c>
      <c r="I9" t="str">
        <f t="shared" si="1"/>
        <v>Overweight</v>
      </c>
      <c r="J9" t="str">
        <f t="shared" si="2"/>
        <v>No</v>
      </c>
    </row>
    <row r="10" spans="1:10" x14ac:dyDescent="0.25">
      <c r="A10">
        <v>37</v>
      </c>
      <c r="B10" t="s">
        <v>10</v>
      </c>
      <c r="C10">
        <v>29.83</v>
      </c>
      <c r="D10">
        <v>2</v>
      </c>
      <c r="E10" t="s">
        <v>11</v>
      </c>
      <c r="F10" t="s">
        <v>14</v>
      </c>
      <c r="G10">
        <v>6406.4107000000004</v>
      </c>
      <c r="H10" t="str">
        <f t="shared" si="0"/>
        <v>30-39</v>
      </c>
      <c r="I10" t="str">
        <f t="shared" si="1"/>
        <v>Overweight</v>
      </c>
      <c r="J10" t="str">
        <f t="shared" si="2"/>
        <v>No</v>
      </c>
    </row>
    <row r="11" spans="1:10" x14ac:dyDescent="0.25">
      <c r="A11">
        <v>60</v>
      </c>
      <c r="B11" t="s">
        <v>7</v>
      </c>
      <c r="C11">
        <v>25.84</v>
      </c>
      <c r="D11">
        <v>0</v>
      </c>
      <c r="E11" t="s">
        <v>11</v>
      </c>
      <c r="F11" t="s">
        <v>13</v>
      </c>
      <c r="G11">
        <v>28923.136920000001</v>
      </c>
      <c r="H11" t="str">
        <f t="shared" si="0"/>
        <v>60+</v>
      </c>
      <c r="I11" t="str">
        <f t="shared" si="1"/>
        <v>Overweight</v>
      </c>
      <c r="J11" t="str">
        <f t="shared" si="2"/>
        <v>Yes</v>
      </c>
    </row>
    <row r="12" spans="1:10" x14ac:dyDescent="0.25">
      <c r="A12">
        <v>25</v>
      </c>
      <c r="B12" t="s">
        <v>10</v>
      </c>
      <c r="C12">
        <v>26.22</v>
      </c>
      <c r="D12">
        <v>0</v>
      </c>
      <c r="E12" t="s">
        <v>11</v>
      </c>
      <c r="F12" t="s">
        <v>14</v>
      </c>
      <c r="G12">
        <v>2721.3208</v>
      </c>
      <c r="H12" t="str">
        <f t="shared" si="0"/>
        <v>18-29</v>
      </c>
      <c r="I12" t="str">
        <f t="shared" si="1"/>
        <v>Overweight</v>
      </c>
      <c r="J12" t="str">
        <f t="shared" si="2"/>
        <v>No</v>
      </c>
    </row>
    <row r="13" spans="1:10" x14ac:dyDescent="0.25">
      <c r="A13">
        <v>62</v>
      </c>
      <c r="B13" t="s">
        <v>7</v>
      </c>
      <c r="C13">
        <v>26.29</v>
      </c>
      <c r="D13">
        <v>0</v>
      </c>
      <c r="E13" t="s">
        <v>8</v>
      </c>
      <c r="F13" t="s">
        <v>12</v>
      </c>
      <c r="G13">
        <v>27808.7251</v>
      </c>
      <c r="H13" t="str">
        <f t="shared" si="0"/>
        <v>60+</v>
      </c>
      <c r="I13" t="str">
        <f t="shared" si="1"/>
        <v>Overweight</v>
      </c>
      <c r="J13" t="str">
        <f t="shared" si="2"/>
        <v>Yes</v>
      </c>
    </row>
    <row r="14" spans="1:10" x14ac:dyDescent="0.25">
      <c r="A14">
        <v>23</v>
      </c>
      <c r="B14" t="s">
        <v>10</v>
      </c>
      <c r="C14">
        <v>34.4</v>
      </c>
      <c r="D14">
        <v>0</v>
      </c>
      <c r="E14" t="s">
        <v>11</v>
      </c>
      <c r="F14" t="s">
        <v>9</v>
      </c>
      <c r="G14">
        <v>1826.8430000000001</v>
      </c>
      <c r="H14" t="str">
        <f t="shared" si="0"/>
        <v>18-29</v>
      </c>
      <c r="I14" t="str">
        <f t="shared" si="1"/>
        <v>Obese</v>
      </c>
      <c r="J14" t="str">
        <f t="shared" si="2"/>
        <v>No</v>
      </c>
    </row>
    <row r="15" spans="1:10" x14ac:dyDescent="0.25">
      <c r="A15">
        <v>56</v>
      </c>
      <c r="B15" t="s">
        <v>7</v>
      </c>
      <c r="C15">
        <v>39.82</v>
      </c>
      <c r="D15">
        <v>0</v>
      </c>
      <c r="E15" t="s">
        <v>11</v>
      </c>
      <c r="F15" t="s">
        <v>12</v>
      </c>
      <c r="G15">
        <v>11090.7178</v>
      </c>
      <c r="H15" t="str">
        <f t="shared" si="0"/>
        <v>50-59</v>
      </c>
      <c r="I15" t="str">
        <f t="shared" si="1"/>
        <v>Obese</v>
      </c>
      <c r="J15" t="str">
        <f t="shared" si="2"/>
        <v>No</v>
      </c>
    </row>
    <row r="16" spans="1:10" x14ac:dyDescent="0.25">
      <c r="A16">
        <v>27</v>
      </c>
      <c r="B16" t="s">
        <v>10</v>
      </c>
      <c r="C16">
        <v>42.13</v>
      </c>
      <c r="D16">
        <v>0</v>
      </c>
      <c r="E16" t="s">
        <v>8</v>
      </c>
      <c r="F16" t="s">
        <v>12</v>
      </c>
      <c r="G16">
        <v>39611.757700000002</v>
      </c>
      <c r="H16" t="str">
        <f t="shared" si="0"/>
        <v>18-29</v>
      </c>
      <c r="I16" t="str">
        <f t="shared" si="1"/>
        <v>Obese</v>
      </c>
      <c r="J16" t="str">
        <f t="shared" si="2"/>
        <v>Yes</v>
      </c>
    </row>
    <row r="17" spans="1:10" x14ac:dyDescent="0.25">
      <c r="A17">
        <v>19</v>
      </c>
      <c r="B17" t="s">
        <v>10</v>
      </c>
      <c r="C17">
        <v>24.6</v>
      </c>
      <c r="D17">
        <v>1</v>
      </c>
      <c r="E17" t="s">
        <v>11</v>
      </c>
      <c r="F17" t="s">
        <v>9</v>
      </c>
      <c r="G17">
        <v>1837.2370000000001</v>
      </c>
      <c r="H17" t="str">
        <f t="shared" si="0"/>
        <v>18-29</v>
      </c>
      <c r="I17" t="str">
        <f t="shared" si="1"/>
        <v>Normal</v>
      </c>
      <c r="J17" t="str">
        <f t="shared" si="2"/>
        <v>No</v>
      </c>
    </row>
    <row r="18" spans="1:10" x14ac:dyDescent="0.25">
      <c r="A18">
        <v>52</v>
      </c>
      <c r="B18" t="s">
        <v>7</v>
      </c>
      <c r="C18">
        <v>30.78</v>
      </c>
      <c r="D18">
        <v>1</v>
      </c>
      <c r="E18" t="s">
        <v>11</v>
      </c>
      <c r="F18" t="s">
        <v>14</v>
      </c>
      <c r="G18">
        <v>10797.3362</v>
      </c>
      <c r="H18" t="str">
        <f t="shared" si="0"/>
        <v>50-59</v>
      </c>
      <c r="I18" t="str">
        <f t="shared" si="1"/>
        <v>Obese</v>
      </c>
      <c r="J18" t="str">
        <f t="shared" si="2"/>
        <v>No</v>
      </c>
    </row>
    <row r="19" spans="1:10" x14ac:dyDescent="0.25">
      <c r="A19">
        <v>23</v>
      </c>
      <c r="B19" t="s">
        <v>10</v>
      </c>
      <c r="C19">
        <v>23.844999999999999</v>
      </c>
      <c r="D19">
        <v>0</v>
      </c>
      <c r="E19" t="s">
        <v>11</v>
      </c>
      <c r="F19" t="s">
        <v>14</v>
      </c>
      <c r="G19">
        <v>2395.17155</v>
      </c>
      <c r="H19" t="str">
        <f t="shared" si="0"/>
        <v>18-29</v>
      </c>
      <c r="I19" t="str">
        <f t="shared" si="1"/>
        <v>Normal</v>
      </c>
      <c r="J19" t="str">
        <f t="shared" si="2"/>
        <v>No</v>
      </c>
    </row>
    <row r="20" spans="1:10" x14ac:dyDescent="0.25">
      <c r="A20">
        <v>56</v>
      </c>
      <c r="B20" t="s">
        <v>10</v>
      </c>
      <c r="C20">
        <v>40.299999999999997</v>
      </c>
      <c r="D20">
        <v>0</v>
      </c>
      <c r="E20" t="s">
        <v>11</v>
      </c>
      <c r="F20" t="s">
        <v>9</v>
      </c>
      <c r="G20">
        <v>10602.385</v>
      </c>
      <c r="H20" t="str">
        <f t="shared" si="0"/>
        <v>50-59</v>
      </c>
      <c r="I20" t="str">
        <f t="shared" si="1"/>
        <v>Obese</v>
      </c>
      <c r="J20" t="str">
        <f t="shared" si="2"/>
        <v>No</v>
      </c>
    </row>
    <row r="21" spans="1:10" x14ac:dyDescent="0.25">
      <c r="A21">
        <v>30</v>
      </c>
      <c r="B21" t="s">
        <v>10</v>
      </c>
      <c r="C21">
        <v>35.299999999999997</v>
      </c>
      <c r="D21">
        <v>0</v>
      </c>
      <c r="E21" t="s">
        <v>8</v>
      </c>
      <c r="F21" t="s">
        <v>9</v>
      </c>
      <c r="G21">
        <v>36837.466999999997</v>
      </c>
      <c r="H21" t="str">
        <f t="shared" si="0"/>
        <v>30-39</v>
      </c>
      <c r="I21" t="str">
        <f t="shared" si="1"/>
        <v>Obese</v>
      </c>
      <c r="J21" t="str">
        <f t="shared" si="2"/>
        <v>Yes</v>
      </c>
    </row>
    <row r="22" spans="1:10" x14ac:dyDescent="0.25">
      <c r="A22">
        <v>60</v>
      </c>
      <c r="B22" t="s">
        <v>7</v>
      </c>
      <c r="C22">
        <v>36.005000000000003</v>
      </c>
      <c r="D22">
        <v>0</v>
      </c>
      <c r="E22" t="s">
        <v>11</v>
      </c>
      <c r="F22" t="s">
        <v>14</v>
      </c>
      <c r="G22">
        <v>13228.846949999999</v>
      </c>
      <c r="H22" t="str">
        <f t="shared" si="0"/>
        <v>60+</v>
      </c>
      <c r="I22" t="str">
        <f t="shared" si="1"/>
        <v>Obese</v>
      </c>
      <c r="J22" t="str">
        <f t="shared" si="2"/>
        <v>No</v>
      </c>
    </row>
    <row r="23" spans="1:10" x14ac:dyDescent="0.25">
      <c r="A23">
        <v>30</v>
      </c>
      <c r="B23" t="s">
        <v>7</v>
      </c>
      <c r="C23">
        <v>32.4</v>
      </c>
      <c r="D23">
        <v>1</v>
      </c>
      <c r="E23" t="s">
        <v>11</v>
      </c>
      <c r="F23" t="s">
        <v>9</v>
      </c>
      <c r="G23">
        <v>4149.7359999999999</v>
      </c>
      <c r="H23" t="str">
        <f t="shared" si="0"/>
        <v>30-39</v>
      </c>
      <c r="I23" t="str">
        <f t="shared" si="1"/>
        <v>Obese</v>
      </c>
      <c r="J23" t="str">
        <f t="shared" si="2"/>
        <v>No</v>
      </c>
    </row>
    <row r="24" spans="1:10" x14ac:dyDescent="0.25">
      <c r="A24">
        <v>18</v>
      </c>
      <c r="B24" t="s">
        <v>10</v>
      </c>
      <c r="C24">
        <v>34.1</v>
      </c>
      <c r="D24">
        <v>0</v>
      </c>
      <c r="E24" t="s">
        <v>11</v>
      </c>
      <c r="F24" t="s">
        <v>12</v>
      </c>
      <c r="G24">
        <v>1137.011</v>
      </c>
      <c r="H24" t="str">
        <f t="shared" si="0"/>
        <v>18-29</v>
      </c>
      <c r="I24" t="str">
        <f t="shared" si="1"/>
        <v>Obese</v>
      </c>
      <c r="J24" t="str">
        <f t="shared" si="2"/>
        <v>No</v>
      </c>
    </row>
    <row r="25" spans="1:10" x14ac:dyDescent="0.25">
      <c r="A25">
        <v>34</v>
      </c>
      <c r="B25" t="s">
        <v>7</v>
      </c>
      <c r="C25">
        <v>31.92</v>
      </c>
      <c r="D25">
        <v>1</v>
      </c>
      <c r="E25" t="s">
        <v>8</v>
      </c>
      <c r="F25" t="s">
        <v>14</v>
      </c>
      <c r="G25">
        <v>37701.876799999998</v>
      </c>
      <c r="H25" t="str">
        <f t="shared" si="0"/>
        <v>30-39</v>
      </c>
      <c r="I25" t="str">
        <f t="shared" si="1"/>
        <v>Obese</v>
      </c>
      <c r="J25" t="str">
        <f t="shared" si="2"/>
        <v>Yes</v>
      </c>
    </row>
    <row r="26" spans="1:10" x14ac:dyDescent="0.25">
      <c r="A26">
        <v>37</v>
      </c>
      <c r="B26" t="s">
        <v>10</v>
      </c>
      <c r="C26">
        <v>28.024999999999999</v>
      </c>
      <c r="D26">
        <v>2</v>
      </c>
      <c r="E26" t="s">
        <v>11</v>
      </c>
      <c r="F26" t="s">
        <v>13</v>
      </c>
      <c r="G26">
        <v>6203.90175</v>
      </c>
      <c r="H26" t="str">
        <f t="shared" si="0"/>
        <v>30-39</v>
      </c>
      <c r="I26" t="str">
        <f t="shared" si="1"/>
        <v>Overweight</v>
      </c>
      <c r="J26" t="str">
        <f t="shared" si="2"/>
        <v>No</v>
      </c>
    </row>
    <row r="27" spans="1:10" x14ac:dyDescent="0.25">
      <c r="A27">
        <v>59</v>
      </c>
      <c r="B27" t="s">
        <v>7</v>
      </c>
      <c r="C27">
        <v>27.72</v>
      </c>
      <c r="D27">
        <v>3</v>
      </c>
      <c r="E27" t="s">
        <v>11</v>
      </c>
      <c r="F27" t="s">
        <v>12</v>
      </c>
      <c r="G27">
        <v>14001.1338</v>
      </c>
      <c r="H27" t="str">
        <f t="shared" si="0"/>
        <v>50-59</v>
      </c>
      <c r="I27" t="str">
        <f t="shared" si="1"/>
        <v>Overweight</v>
      </c>
      <c r="J27" t="str">
        <f t="shared" si="2"/>
        <v>No</v>
      </c>
    </row>
    <row r="28" spans="1:10" x14ac:dyDescent="0.25">
      <c r="A28">
        <v>63</v>
      </c>
      <c r="B28" t="s">
        <v>7</v>
      </c>
      <c r="C28">
        <v>23.085000000000001</v>
      </c>
      <c r="D28">
        <v>0</v>
      </c>
      <c r="E28" t="s">
        <v>11</v>
      </c>
      <c r="F28" t="s">
        <v>14</v>
      </c>
      <c r="G28">
        <v>14451.835150000001</v>
      </c>
      <c r="H28" t="str">
        <f t="shared" si="0"/>
        <v>60+</v>
      </c>
      <c r="I28" t="str">
        <f t="shared" si="1"/>
        <v>Normal</v>
      </c>
      <c r="J28" t="str">
        <f t="shared" si="2"/>
        <v>No</v>
      </c>
    </row>
    <row r="29" spans="1:10" x14ac:dyDescent="0.25">
      <c r="A29">
        <v>55</v>
      </c>
      <c r="B29" t="s">
        <v>7</v>
      </c>
      <c r="C29">
        <v>32.774999999999999</v>
      </c>
      <c r="D29">
        <v>2</v>
      </c>
      <c r="E29" t="s">
        <v>11</v>
      </c>
      <c r="F29" t="s">
        <v>13</v>
      </c>
      <c r="G29">
        <v>12268.632250000001</v>
      </c>
      <c r="H29" t="str">
        <f t="shared" si="0"/>
        <v>50-59</v>
      </c>
      <c r="I29" t="str">
        <f t="shared" si="1"/>
        <v>Obese</v>
      </c>
      <c r="J29" t="str">
        <f t="shared" si="2"/>
        <v>No</v>
      </c>
    </row>
    <row r="30" spans="1:10" x14ac:dyDescent="0.25">
      <c r="A30">
        <v>23</v>
      </c>
      <c r="B30" t="s">
        <v>10</v>
      </c>
      <c r="C30">
        <v>17.385000000000002</v>
      </c>
      <c r="D30">
        <v>1</v>
      </c>
      <c r="E30" t="s">
        <v>11</v>
      </c>
      <c r="F30" t="s">
        <v>13</v>
      </c>
      <c r="G30">
        <v>2775.1921499999999</v>
      </c>
      <c r="H30" t="str">
        <f t="shared" si="0"/>
        <v>18-29</v>
      </c>
      <c r="I30" t="str">
        <f t="shared" si="1"/>
        <v>Underweight</v>
      </c>
      <c r="J30" t="str">
        <f t="shared" si="2"/>
        <v>No</v>
      </c>
    </row>
    <row r="31" spans="1:10" x14ac:dyDescent="0.25">
      <c r="A31">
        <v>31</v>
      </c>
      <c r="B31" t="s">
        <v>10</v>
      </c>
      <c r="C31">
        <v>36.299999999999997</v>
      </c>
      <c r="D31">
        <v>2</v>
      </c>
      <c r="E31" t="s">
        <v>8</v>
      </c>
      <c r="F31" t="s">
        <v>9</v>
      </c>
      <c r="G31">
        <v>38711</v>
      </c>
      <c r="H31" t="str">
        <f t="shared" si="0"/>
        <v>30-39</v>
      </c>
      <c r="I31" t="str">
        <f t="shared" si="1"/>
        <v>Obese</v>
      </c>
      <c r="J31" t="str">
        <f t="shared" si="2"/>
        <v>Yes</v>
      </c>
    </row>
    <row r="32" spans="1:10" x14ac:dyDescent="0.25">
      <c r="A32">
        <v>22</v>
      </c>
      <c r="B32" t="s">
        <v>10</v>
      </c>
      <c r="C32">
        <v>35.6</v>
      </c>
      <c r="D32">
        <v>0</v>
      </c>
      <c r="E32" t="s">
        <v>8</v>
      </c>
      <c r="F32" t="s">
        <v>9</v>
      </c>
      <c r="G32">
        <v>35585.576000000001</v>
      </c>
      <c r="H32" t="str">
        <f t="shared" si="0"/>
        <v>18-29</v>
      </c>
      <c r="I32" t="str">
        <f t="shared" si="1"/>
        <v>Obese</v>
      </c>
      <c r="J32" t="str">
        <f t="shared" si="2"/>
        <v>Yes</v>
      </c>
    </row>
    <row r="33" spans="1:10" x14ac:dyDescent="0.25">
      <c r="A33">
        <v>18</v>
      </c>
      <c r="B33" t="s">
        <v>7</v>
      </c>
      <c r="C33">
        <v>26.315000000000001</v>
      </c>
      <c r="D33">
        <v>0</v>
      </c>
      <c r="E33" t="s">
        <v>11</v>
      </c>
      <c r="F33" t="s">
        <v>14</v>
      </c>
      <c r="G33">
        <v>2198.1898500000002</v>
      </c>
      <c r="H33" t="str">
        <f t="shared" si="0"/>
        <v>18-29</v>
      </c>
      <c r="I33" t="str">
        <f t="shared" si="1"/>
        <v>Overweight</v>
      </c>
      <c r="J33" t="str">
        <f t="shared" si="2"/>
        <v>No</v>
      </c>
    </row>
    <row r="34" spans="1:10" x14ac:dyDescent="0.25">
      <c r="A34">
        <v>19</v>
      </c>
      <c r="B34" t="s">
        <v>7</v>
      </c>
      <c r="C34">
        <v>28.6</v>
      </c>
      <c r="D34">
        <v>5</v>
      </c>
      <c r="E34" t="s">
        <v>11</v>
      </c>
      <c r="F34" t="s">
        <v>9</v>
      </c>
      <c r="G34">
        <v>4687.7969999999996</v>
      </c>
      <c r="H34" t="str">
        <f t="shared" si="0"/>
        <v>18-29</v>
      </c>
      <c r="I34" t="str">
        <f t="shared" si="1"/>
        <v>Overweight</v>
      </c>
      <c r="J34" t="str">
        <f t="shared" si="2"/>
        <v>No</v>
      </c>
    </row>
    <row r="35" spans="1:10" x14ac:dyDescent="0.25">
      <c r="A35">
        <v>63</v>
      </c>
      <c r="B35" t="s">
        <v>10</v>
      </c>
      <c r="C35">
        <v>28.31</v>
      </c>
      <c r="D35">
        <v>0</v>
      </c>
      <c r="E35" t="s">
        <v>11</v>
      </c>
      <c r="F35" t="s">
        <v>13</v>
      </c>
      <c r="G35">
        <v>13770.097900000001</v>
      </c>
      <c r="H35" t="str">
        <f t="shared" si="0"/>
        <v>60+</v>
      </c>
      <c r="I35" t="str">
        <f t="shared" si="1"/>
        <v>Overweight</v>
      </c>
      <c r="J35" t="str">
        <f t="shared" si="2"/>
        <v>No</v>
      </c>
    </row>
    <row r="36" spans="1:10" x14ac:dyDescent="0.25">
      <c r="A36">
        <v>28</v>
      </c>
      <c r="B36" t="s">
        <v>10</v>
      </c>
      <c r="C36">
        <v>36.4</v>
      </c>
      <c r="D36">
        <v>1</v>
      </c>
      <c r="E36" t="s">
        <v>8</v>
      </c>
      <c r="F36" t="s">
        <v>9</v>
      </c>
      <c r="G36">
        <v>51194.559139999998</v>
      </c>
      <c r="H36" t="str">
        <f t="shared" si="0"/>
        <v>18-29</v>
      </c>
      <c r="I36" t="str">
        <f t="shared" si="1"/>
        <v>Obese</v>
      </c>
      <c r="J36" t="str">
        <f t="shared" si="2"/>
        <v>Yes</v>
      </c>
    </row>
    <row r="37" spans="1:10" x14ac:dyDescent="0.25">
      <c r="A37">
        <v>19</v>
      </c>
      <c r="B37" t="s">
        <v>10</v>
      </c>
      <c r="C37">
        <v>20.425000000000001</v>
      </c>
      <c r="D37">
        <v>0</v>
      </c>
      <c r="E37" t="s">
        <v>11</v>
      </c>
      <c r="F37" t="s">
        <v>13</v>
      </c>
      <c r="G37">
        <v>1625.4337499999999</v>
      </c>
      <c r="H37" t="str">
        <f t="shared" si="0"/>
        <v>18-29</v>
      </c>
      <c r="I37" t="str">
        <f t="shared" si="1"/>
        <v>Normal</v>
      </c>
      <c r="J37" t="str">
        <f t="shared" si="2"/>
        <v>No</v>
      </c>
    </row>
    <row r="38" spans="1:10" x14ac:dyDescent="0.25">
      <c r="A38">
        <v>62</v>
      </c>
      <c r="B38" t="s">
        <v>7</v>
      </c>
      <c r="C38">
        <v>32.965000000000003</v>
      </c>
      <c r="D38">
        <v>3</v>
      </c>
      <c r="E38" t="s">
        <v>11</v>
      </c>
      <c r="F38" t="s">
        <v>13</v>
      </c>
      <c r="G38">
        <v>15612.19335</v>
      </c>
      <c r="H38" t="str">
        <f t="shared" si="0"/>
        <v>60+</v>
      </c>
      <c r="I38" t="str">
        <f t="shared" si="1"/>
        <v>Obese</v>
      </c>
      <c r="J38" t="str">
        <f t="shared" si="2"/>
        <v>No</v>
      </c>
    </row>
    <row r="39" spans="1:10" x14ac:dyDescent="0.25">
      <c r="A39">
        <v>26</v>
      </c>
      <c r="B39" t="s">
        <v>10</v>
      </c>
      <c r="C39">
        <v>20.8</v>
      </c>
      <c r="D39">
        <v>0</v>
      </c>
      <c r="E39" t="s">
        <v>11</v>
      </c>
      <c r="F39" t="s">
        <v>9</v>
      </c>
      <c r="G39">
        <v>2302.3000000000002</v>
      </c>
      <c r="H39" t="str">
        <f t="shared" si="0"/>
        <v>18-29</v>
      </c>
      <c r="I39" t="str">
        <f t="shared" si="1"/>
        <v>Normal</v>
      </c>
      <c r="J39" t="str">
        <f t="shared" si="2"/>
        <v>No</v>
      </c>
    </row>
    <row r="40" spans="1:10" x14ac:dyDescent="0.25">
      <c r="A40">
        <v>35</v>
      </c>
      <c r="B40" t="s">
        <v>10</v>
      </c>
      <c r="C40">
        <v>36.67</v>
      </c>
      <c r="D40">
        <v>1</v>
      </c>
      <c r="E40" t="s">
        <v>8</v>
      </c>
      <c r="F40" t="s">
        <v>14</v>
      </c>
      <c r="G40">
        <v>39774.276299999998</v>
      </c>
      <c r="H40" t="str">
        <f t="shared" si="0"/>
        <v>30-39</v>
      </c>
      <c r="I40" t="str">
        <f t="shared" si="1"/>
        <v>Obese</v>
      </c>
      <c r="J40" t="str">
        <f t="shared" si="2"/>
        <v>Yes</v>
      </c>
    </row>
    <row r="41" spans="1:10" x14ac:dyDescent="0.25">
      <c r="A41">
        <v>60</v>
      </c>
      <c r="B41" t="s">
        <v>10</v>
      </c>
      <c r="C41">
        <v>39.9</v>
      </c>
      <c r="D41">
        <v>0</v>
      </c>
      <c r="E41" t="s">
        <v>8</v>
      </c>
      <c r="F41" t="s">
        <v>9</v>
      </c>
      <c r="G41">
        <v>48173.360999999997</v>
      </c>
      <c r="H41" t="str">
        <f t="shared" si="0"/>
        <v>60+</v>
      </c>
      <c r="I41" t="str">
        <f t="shared" si="1"/>
        <v>Obese</v>
      </c>
      <c r="J41" t="str">
        <f t="shared" si="2"/>
        <v>Yes</v>
      </c>
    </row>
    <row r="42" spans="1:10" x14ac:dyDescent="0.25">
      <c r="A42">
        <v>24</v>
      </c>
      <c r="B42" t="s">
        <v>7</v>
      </c>
      <c r="C42">
        <v>26.6</v>
      </c>
      <c r="D42">
        <v>0</v>
      </c>
      <c r="E42" t="s">
        <v>11</v>
      </c>
      <c r="F42" t="s">
        <v>14</v>
      </c>
      <c r="G42">
        <v>3046.0619999999999</v>
      </c>
      <c r="H42" t="str">
        <f t="shared" si="0"/>
        <v>18-29</v>
      </c>
      <c r="I42" t="str">
        <f t="shared" si="1"/>
        <v>Overweight</v>
      </c>
      <c r="J42" t="str">
        <f t="shared" si="2"/>
        <v>No</v>
      </c>
    </row>
    <row r="43" spans="1:10" x14ac:dyDescent="0.25">
      <c r="A43">
        <v>31</v>
      </c>
      <c r="B43" t="s">
        <v>7</v>
      </c>
      <c r="C43">
        <v>36.630000000000003</v>
      </c>
      <c r="D43">
        <v>2</v>
      </c>
      <c r="E43" t="s">
        <v>11</v>
      </c>
      <c r="F43" t="s">
        <v>12</v>
      </c>
      <c r="G43">
        <v>4949.7587000000003</v>
      </c>
      <c r="H43" t="str">
        <f t="shared" si="0"/>
        <v>30-39</v>
      </c>
      <c r="I43" t="str">
        <f t="shared" si="1"/>
        <v>Obese</v>
      </c>
      <c r="J43" t="str">
        <f t="shared" si="2"/>
        <v>No</v>
      </c>
    </row>
    <row r="44" spans="1:10" x14ac:dyDescent="0.25">
      <c r="A44">
        <v>41</v>
      </c>
      <c r="B44" t="s">
        <v>10</v>
      </c>
      <c r="C44">
        <v>21.78</v>
      </c>
      <c r="D44">
        <v>1</v>
      </c>
      <c r="E44" t="s">
        <v>11</v>
      </c>
      <c r="F44" t="s">
        <v>12</v>
      </c>
      <c r="G44">
        <v>6272.4772000000003</v>
      </c>
      <c r="H44" t="str">
        <f t="shared" si="0"/>
        <v>40-49</v>
      </c>
      <c r="I44" t="str">
        <f t="shared" si="1"/>
        <v>Normal</v>
      </c>
      <c r="J44" t="str">
        <f t="shared" si="2"/>
        <v>No</v>
      </c>
    </row>
    <row r="45" spans="1:10" x14ac:dyDescent="0.25">
      <c r="A45">
        <v>37</v>
      </c>
      <c r="B45" t="s">
        <v>7</v>
      </c>
      <c r="C45">
        <v>30.8</v>
      </c>
      <c r="D45">
        <v>2</v>
      </c>
      <c r="E45" t="s">
        <v>11</v>
      </c>
      <c r="F45" t="s">
        <v>12</v>
      </c>
      <c r="G45">
        <v>6313.759</v>
      </c>
      <c r="H45" t="str">
        <f t="shared" si="0"/>
        <v>30-39</v>
      </c>
      <c r="I45" t="str">
        <f t="shared" si="1"/>
        <v>Obese</v>
      </c>
      <c r="J45" t="str">
        <f t="shared" si="2"/>
        <v>No</v>
      </c>
    </row>
    <row r="46" spans="1:10" x14ac:dyDescent="0.25">
      <c r="A46">
        <v>38</v>
      </c>
      <c r="B46" t="s">
        <v>10</v>
      </c>
      <c r="C46">
        <v>37.049999999999997</v>
      </c>
      <c r="D46">
        <v>1</v>
      </c>
      <c r="E46" t="s">
        <v>11</v>
      </c>
      <c r="F46" t="s">
        <v>14</v>
      </c>
      <c r="G46">
        <v>6079.6715000000004</v>
      </c>
      <c r="H46" t="str">
        <f t="shared" si="0"/>
        <v>30-39</v>
      </c>
      <c r="I46" t="str">
        <f t="shared" si="1"/>
        <v>Obese</v>
      </c>
      <c r="J46" t="str">
        <f t="shared" si="2"/>
        <v>No</v>
      </c>
    </row>
    <row r="47" spans="1:10" x14ac:dyDescent="0.25">
      <c r="A47">
        <v>55</v>
      </c>
      <c r="B47" t="s">
        <v>10</v>
      </c>
      <c r="C47">
        <v>37.299999999999997</v>
      </c>
      <c r="D47">
        <v>0</v>
      </c>
      <c r="E47" t="s">
        <v>11</v>
      </c>
      <c r="F47" t="s">
        <v>9</v>
      </c>
      <c r="G47">
        <v>20630.283510000001</v>
      </c>
      <c r="H47" t="str">
        <f t="shared" si="0"/>
        <v>50-59</v>
      </c>
      <c r="I47" t="str">
        <f t="shared" si="1"/>
        <v>Obese</v>
      </c>
      <c r="J47" t="str">
        <f t="shared" si="2"/>
        <v>Yes</v>
      </c>
    </row>
    <row r="48" spans="1:10" x14ac:dyDescent="0.25">
      <c r="A48">
        <v>18</v>
      </c>
      <c r="B48" t="s">
        <v>7</v>
      </c>
      <c r="C48">
        <v>38.664999999999999</v>
      </c>
      <c r="D48">
        <v>2</v>
      </c>
      <c r="E48" t="s">
        <v>11</v>
      </c>
      <c r="F48" t="s">
        <v>14</v>
      </c>
      <c r="G48">
        <v>3393.35635</v>
      </c>
      <c r="H48" t="str">
        <f t="shared" si="0"/>
        <v>18-29</v>
      </c>
      <c r="I48" t="str">
        <f t="shared" si="1"/>
        <v>Obese</v>
      </c>
      <c r="J48" t="str">
        <f t="shared" si="2"/>
        <v>No</v>
      </c>
    </row>
    <row r="49" spans="1:10" x14ac:dyDescent="0.25">
      <c r="A49">
        <v>28</v>
      </c>
      <c r="B49" t="s">
        <v>7</v>
      </c>
      <c r="C49">
        <v>34.770000000000003</v>
      </c>
      <c r="D49">
        <v>0</v>
      </c>
      <c r="E49" t="s">
        <v>11</v>
      </c>
      <c r="F49" t="s">
        <v>13</v>
      </c>
      <c r="G49">
        <v>3556.9223000000002</v>
      </c>
      <c r="H49" t="str">
        <f t="shared" si="0"/>
        <v>18-29</v>
      </c>
      <c r="I49" t="str">
        <f t="shared" si="1"/>
        <v>Obese</v>
      </c>
      <c r="J49" t="str">
        <f t="shared" si="2"/>
        <v>No</v>
      </c>
    </row>
    <row r="50" spans="1:10" x14ac:dyDescent="0.25">
      <c r="A50">
        <v>60</v>
      </c>
      <c r="B50" t="s">
        <v>7</v>
      </c>
      <c r="C50">
        <v>24.53</v>
      </c>
      <c r="D50">
        <v>0</v>
      </c>
      <c r="E50" t="s">
        <v>11</v>
      </c>
      <c r="F50" t="s">
        <v>12</v>
      </c>
      <c r="G50">
        <v>12629.896699999999</v>
      </c>
      <c r="H50" t="str">
        <f t="shared" si="0"/>
        <v>60+</v>
      </c>
      <c r="I50" t="str">
        <f t="shared" si="1"/>
        <v>Normal</v>
      </c>
      <c r="J50" t="str">
        <f t="shared" si="2"/>
        <v>No</v>
      </c>
    </row>
    <row r="51" spans="1:10" x14ac:dyDescent="0.25">
      <c r="A51">
        <v>36</v>
      </c>
      <c r="B51" t="s">
        <v>10</v>
      </c>
      <c r="C51">
        <v>35.200000000000003</v>
      </c>
      <c r="D51">
        <v>1</v>
      </c>
      <c r="E51" t="s">
        <v>8</v>
      </c>
      <c r="F51" t="s">
        <v>12</v>
      </c>
      <c r="G51">
        <v>38709.175999999999</v>
      </c>
      <c r="H51" t="str">
        <f t="shared" si="0"/>
        <v>30-39</v>
      </c>
      <c r="I51" t="str">
        <f t="shared" si="1"/>
        <v>Obese</v>
      </c>
      <c r="J51" t="str">
        <f t="shared" si="2"/>
        <v>Yes</v>
      </c>
    </row>
    <row r="52" spans="1:10" x14ac:dyDescent="0.25">
      <c r="A52">
        <v>18</v>
      </c>
      <c r="B52" t="s">
        <v>7</v>
      </c>
      <c r="C52">
        <v>35.625</v>
      </c>
      <c r="D52">
        <v>0</v>
      </c>
      <c r="E52" t="s">
        <v>11</v>
      </c>
      <c r="F52" t="s">
        <v>14</v>
      </c>
      <c r="G52">
        <v>2211.1307499999998</v>
      </c>
      <c r="H52" t="str">
        <f t="shared" si="0"/>
        <v>18-29</v>
      </c>
      <c r="I52" t="str">
        <f t="shared" si="1"/>
        <v>Obese</v>
      </c>
      <c r="J52" t="str">
        <f t="shared" si="2"/>
        <v>No</v>
      </c>
    </row>
    <row r="53" spans="1:10" x14ac:dyDescent="0.25">
      <c r="A53">
        <v>21</v>
      </c>
      <c r="B53" t="s">
        <v>7</v>
      </c>
      <c r="C53">
        <v>33.630000000000003</v>
      </c>
      <c r="D53">
        <v>2</v>
      </c>
      <c r="E53" t="s">
        <v>11</v>
      </c>
      <c r="F53" t="s">
        <v>13</v>
      </c>
      <c r="G53">
        <v>3579.8287</v>
      </c>
      <c r="H53" t="str">
        <f t="shared" si="0"/>
        <v>18-29</v>
      </c>
      <c r="I53" t="str">
        <f t="shared" si="1"/>
        <v>Obese</v>
      </c>
      <c r="J53" t="str">
        <f t="shared" si="2"/>
        <v>No</v>
      </c>
    </row>
    <row r="54" spans="1:10" x14ac:dyDescent="0.25">
      <c r="A54">
        <v>48</v>
      </c>
      <c r="B54" t="s">
        <v>10</v>
      </c>
      <c r="C54">
        <v>28</v>
      </c>
      <c r="D54">
        <v>1</v>
      </c>
      <c r="E54" t="s">
        <v>8</v>
      </c>
      <c r="F54" t="s">
        <v>9</v>
      </c>
      <c r="G54">
        <v>23568.272000000001</v>
      </c>
      <c r="H54" t="str">
        <f t="shared" si="0"/>
        <v>40-49</v>
      </c>
      <c r="I54" t="str">
        <f t="shared" si="1"/>
        <v>Overweight</v>
      </c>
      <c r="J54" t="str">
        <f t="shared" si="2"/>
        <v>Yes</v>
      </c>
    </row>
    <row r="55" spans="1:10" x14ac:dyDescent="0.25">
      <c r="A55">
        <v>36</v>
      </c>
      <c r="B55" t="s">
        <v>10</v>
      </c>
      <c r="C55">
        <v>34.43</v>
      </c>
      <c r="D55">
        <v>0</v>
      </c>
      <c r="E55" t="s">
        <v>8</v>
      </c>
      <c r="F55" t="s">
        <v>12</v>
      </c>
      <c r="G55">
        <v>37742.575700000001</v>
      </c>
      <c r="H55" t="str">
        <f t="shared" si="0"/>
        <v>30-39</v>
      </c>
      <c r="I55" t="str">
        <f t="shared" si="1"/>
        <v>Obese</v>
      </c>
      <c r="J55" t="str">
        <f t="shared" si="2"/>
        <v>Yes</v>
      </c>
    </row>
    <row r="56" spans="1:10" x14ac:dyDescent="0.25">
      <c r="A56">
        <v>40</v>
      </c>
      <c r="B56" t="s">
        <v>7</v>
      </c>
      <c r="C56">
        <v>28.69</v>
      </c>
      <c r="D56">
        <v>3</v>
      </c>
      <c r="E56" t="s">
        <v>11</v>
      </c>
      <c r="F56" t="s">
        <v>13</v>
      </c>
      <c r="G56">
        <v>8059.6791000000003</v>
      </c>
      <c r="H56" t="str">
        <f t="shared" si="0"/>
        <v>40-49</v>
      </c>
      <c r="I56" t="str">
        <f t="shared" si="1"/>
        <v>Overweight</v>
      </c>
      <c r="J56" t="str">
        <f t="shared" si="2"/>
        <v>No</v>
      </c>
    </row>
    <row r="57" spans="1:10" x14ac:dyDescent="0.25">
      <c r="A57">
        <v>58</v>
      </c>
      <c r="B57" t="s">
        <v>10</v>
      </c>
      <c r="C57">
        <v>36.954999999999998</v>
      </c>
      <c r="D57">
        <v>2</v>
      </c>
      <c r="E57" t="s">
        <v>8</v>
      </c>
      <c r="F57" t="s">
        <v>13</v>
      </c>
      <c r="G57">
        <v>47496.494449999998</v>
      </c>
      <c r="H57" t="str">
        <f t="shared" si="0"/>
        <v>50-59</v>
      </c>
      <c r="I57" t="str">
        <f t="shared" si="1"/>
        <v>Obese</v>
      </c>
      <c r="J57" t="str">
        <f t="shared" si="2"/>
        <v>Yes</v>
      </c>
    </row>
    <row r="58" spans="1:10" x14ac:dyDescent="0.25">
      <c r="A58">
        <v>58</v>
      </c>
      <c r="B58" t="s">
        <v>7</v>
      </c>
      <c r="C58">
        <v>31.824999999999999</v>
      </c>
      <c r="D58">
        <v>2</v>
      </c>
      <c r="E58" t="s">
        <v>11</v>
      </c>
      <c r="F58" t="s">
        <v>14</v>
      </c>
      <c r="G58">
        <v>13607.36875</v>
      </c>
      <c r="H58" t="str">
        <f t="shared" si="0"/>
        <v>50-59</v>
      </c>
      <c r="I58" t="str">
        <f t="shared" si="1"/>
        <v>Obese</v>
      </c>
      <c r="J58" t="str">
        <f t="shared" si="2"/>
        <v>No</v>
      </c>
    </row>
    <row r="59" spans="1:10" x14ac:dyDescent="0.25">
      <c r="A59">
        <v>18</v>
      </c>
      <c r="B59" t="s">
        <v>10</v>
      </c>
      <c r="C59">
        <v>31.68</v>
      </c>
      <c r="D59">
        <v>2</v>
      </c>
      <c r="E59" t="s">
        <v>8</v>
      </c>
      <c r="F59" t="s">
        <v>12</v>
      </c>
      <c r="G59">
        <v>34303.167200000004</v>
      </c>
      <c r="H59" t="str">
        <f t="shared" si="0"/>
        <v>18-29</v>
      </c>
      <c r="I59" t="str">
        <f t="shared" si="1"/>
        <v>Obese</v>
      </c>
      <c r="J59" t="str">
        <f t="shared" si="2"/>
        <v>Yes</v>
      </c>
    </row>
    <row r="60" spans="1:10" x14ac:dyDescent="0.25">
      <c r="A60">
        <v>53</v>
      </c>
      <c r="B60" t="s">
        <v>7</v>
      </c>
      <c r="C60">
        <v>22.88</v>
      </c>
      <c r="D60">
        <v>1</v>
      </c>
      <c r="E60" t="s">
        <v>8</v>
      </c>
      <c r="F60" t="s">
        <v>12</v>
      </c>
      <c r="G60">
        <v>23244.790199999999</v>
      </c>
      <c r="H60" t="str">
        <f t="shared" si="0"/>
        <v>50-59</v>
      </c>
      <c r="I60" t="str">
        <f t="shared" si="1"/>
        <v>Normal</v>
      </c>
      <c r="J60" t="str">
        <f t="shared" si="2"/>
        <v>Yes</v>
      </c>
    </row>
    <row r="61" spans="1:10" x14ac:dyDescent="0.25">
      <c r="A61">
        <v>34</v>
      </c>
      <c r="B61" t="s">
        <v>7</v>
      </c>
      <c r="C61">
        <v>37.335000000000001</v>
      </c>
      <c r="D61">
        <v>2</v>
      </c>
      <c r="E61" t="s">
        <v>11</v>
      </c>
      <c r="F61" t="s">
        <v>13</v>
      </c>
      <c r="G61">
        <v>5989.5236500000001</v>
      </c>
      <c r="H61" t="str">
        <f t="shared" si="0"/>
        <v>30-39</v>
      </c>
      <c r="I61" t="str">
        <f t="shared" si="1"/>
        <v>Obese</v>
      </c>
      <c r="J61" t="str">
        <f t="shared" si="2"/>
        <v>No</v>
      </c>
    </row>
    <row r="62" spans="1:10" x14ac:dyDescent="0.25">
      <c r="A62">
        <v>43</v>
      </c>
      <c r="B62" t="s">
        <v>10</v>
      </c>
      <c r="C62">
        <v>27.36</v>
      </c>
      <c r="D62">
        <v>3</v>
      </c>
      <c r="E62" t="s">
        <v>11</v>
      </c>
      <c r="F62" t="s">
        <v>14</v>
      </c>
      <c r="G62">
        <v>8606.2173999999995</v>
      </c>
      <c r="H62" t="str">
        <f t="shared" si="0"/>
        <v>40-49</v>
      </c>
      <c r="I62" t="str">
        <f t="shared" si="1"/>
        <v>Overweight</v>
      </c>
      <c r="J62" t="str">
        <f t="shared" si="2"/>
        <v>No</v>
      </c>
    </row>
    <row r="63" spans="1:10" x14ac:dyDescent="0.25">
      <c r="A63">
        <v>25</v>
      </c>
      <c r="B63" t="s">
        <v>10</v>
      </c>
      <c r="C63">
        <v>33.659999999999997</v>
      </c>
      <c r="D63">
        <v>4</v>
      </c>
      <c r="E63" t="s">
        <v>11</v>
      </c>
      <c r="F63" t="s">
        <v>12</v>
      </c>
      <c r="G63">
        <v>4504.6624000000002</v>
      </c>
      <c r="H63" t="str">
        <f t="shared" si="0"/>
        <v>18-29</v>
      </c>
      <c r="I63" t="str">
        <f t="shared" si="1"/>
        <v>Obese</v>
      </c>
      <c r="J63" t="str">
        <f t="shared" si="2"/>
        <v>No</v>
      </c>
    </row>
    <row r="64" spans="1:10" x14ac:dyDescent="0.25">
      <c r="A64">
        <v>64</v>
      </c>
      <c r="B64" t="s">
        <v>10</v>
      </c>
      <c r="C64">
        <v>24.7</v>
      </c>
      <c r="D64">
        <v>1</v>
      </c>
      <c r="E64" t="s">
        <v>11</v>
      </c>
      <c r="F64" t="s">
        <v>13</v>
      </c>
      <c r="G64">
        <v>30166.618170000002</v>
      </c>
      <c r="H64" t="str">
        <f t="shared" si="0"/>
        <v>60+</v>
      </c>
      <c r="I64" t="str">
        <f t="shared" si="1"/>
        <v>Normal</v>
      </c>
      <c r="J64" t="str">
        <f t="shared" si="2"/>
        <v>Yes</v>
      </c>
    </row>
    <row r="65" spans="1:10" x14ac:dyDescent="0.25">
      <c r="A65">
        <v>28</v>
      </c>
      <c r="B65" t="s">
        <v>7</v>
      </c>
      <c r="C65">
        <v>25.934999999999999</v>
      </c>
      <c r="D65">
        <v>1</v>
      </c>
      <c r="E65" t="s">
        <v>11</v>
      </c>
      <c r="F65" t="s">
        <v>13</v>
      </c>
      <c r="G65">
        <v>4133.6416499999996</v>
      </c>
      <c r="H65" t="str">
        <f t="shared" si="0"/>
        <v>18-29</v>
      </c>
      <c r="I65" t="str">
        <f t="shared" si="1"/>
        <v>Overweight</v>
      </c>
      <c r="J65" t="str">
        <f t="shared" si="2"/>
        <v>No</v>
      </c>
    </row>
    <row r="66" spans="1:10" x14ac:dyDescent="0.25">
      <c r="A66">
        <v>20</v>
      </c>
      <c r="B66" t="s">
        <v>7</v>
      </c>
      <c r="C66">
        <v>22.42</v>
      </c>
      <c r="D66">
        <v>0</v>
      </c>
      <c r="E66" t="s">
        <v>8</v>
      </c>
      <c r="F66" t="s">
        <v>13</v>
      </c>
      <c r="G66">
        <v>14711.7438</v>
      </c>
      <c r="H66" t="str">
        <f t="shared" ref="H66:H129" si="3">IF(A66&lt;30, "18-29", IF(A66&lt;40, "30-39", IF(A66&lt;50, "40-49", IF(A66&lt;60, "50-59", "60+"))))</f>
        <v>18-29</v>
      </c>
      <c r="I66" t="str">
        <f t="shared" ref="I66:I129" si="4">IF(C66&lt;18.5, "Underweight", IF(C66&lt;25, "Normal", IF(C66&lt;30,"Overweight","Obese")))</f>
        <v>Normal</v>
      </c>
      <c r="J66" t="str">
        <f t="shared" ref="J66:J129" si="5">IF(G66&gt;20000,"Yes","No")</f>
        <v>No</v>
      </c>
    </row>
    <row r="67" spans="1:10" x14ac:dyDescent="0.25">
      <c r="A67">
        <v>19</v>
      </c>
      <c r="B67" t="s">
        <v>7</v>
      </c>
      <c r="C67">
        <v>28.9</v>
      </c>
      <c r="D67">
        <v>0</v>
      </c>
      <c r="E67" t="s">
        <v>11</v>
      </c>
      <c r="F67" t="s">
        <v>9</v>
      </c>
      <c r="G67">
        <v>1743.2139999999999</v>
      </c>
      <c r="H67" t="str">
        <f t="shared" si="3"/>
        <v>18-29</v>
      </c>
      <c r="I67" t="str">
        <f t="shared" si="4"/>
        <v>Overweight</v>
      </c>
      <c r="J67" t="str">
        <f t="shared" si="5"/>
        <v>No</v>
      </c>
    </row>
    <row r="68" spans="1:10" x14ac:dyDescent="0.25">
      <c r="A68">
        <v>61</v>
      </c>
      <c r="B68" t="s">
        <v>7</v>
      </c>
      <c r="C68">
        <v>39.1</v>
      </c>
      <c r="D68">
        <v>2</v>
      </c>
      <c r="E68" t="s">
        <v>11</v>
      </c>
      <c r="F68" t="s">
        <v>9</v>
      </c>
      <c r="G68">
        <v>14235.072</v>
      </c>
      <c r="H68" t="str">
        <f t="shared" si="3"/>
        <v>60+</v>
      </c>
      <c r="I68" t="str">
        <f t="shared" si="4"/>
        <v>Obese</v>
      </c>
      <c r="J68" t="str">
        <f t="shared" si="5"/>
        <v>No</v>
      </c>
    </row>
    <row r="69" spans="1:10" x14ac:dyDescent="0.25">
      <c r="A69">
        <v>40</v>
      </c>
      <c r="B69" t="s">
        <v>10</v>
      </c>
      <c r="C69">
        <v>26.315000000000001</v>
      </c>
      <c r="D69">
        <v>1</v>
      </c>
      <c r="E69" t="s">
        <v>11</v>
      </c>
      <c r="F69" t="s">
        <v>13</v>
      </c>
      <c r="G69">
        <v>6389.3778499999999</v>
      </c>
      <c r="H69" t="str">
        <f t="shared" si="3"/>
        <v>40-49</v>
      </c>
      <c r="I69" t="str">
        <f t="shared" si="4"/>
        <v>Overweight</v>
      </c>
      <c r="J69" t="str">
        <f t="shared" si="5"/>
        <v>No</v>
      </c>
    </row>
    <row r="70" spans="1:10" x14ac:dyDescent="0.25">
      <c r="A70">
        <v>40</v>
      </c>
      <c r="B70" t="s">
        <v>7</v>
      </c>
      <c r="C70">
        <v>36.19</v>
      </c>
      <c r="D70">
        <v>0</v>
      </c>
      <c r="E70" t="s">
        <v>11</v>
      </c>
      <c r="F70" t="s">
        <v>12</v>
      </c>
      <c r="G70">
        <v>5920.1040999999996</v>
      </c>
      <c r="H70" t="str">
        <f t="shared" si="3"/>
        <v>40-49</v>
      </c>
      <c r="I70" t="str">
        <f t="shared" si="4"/>
        <v>Obese</v>
      </c>
      <c r="J70" t="str">
        <f t="shared" si="5"/>
        <v>No</v>
      </c>
    </row>
    <row r="71" spans="1:10" x14ac:dyDescent="0.25">
      <c r="A71">
        <v>28</v>
      </c>
      <c r="B71" t="s">
        <v>10</v>
      </c>
      <c r="C71">
        <v>23.98</v>
      </c>
      <c r="D71">
        <v>3</v>
      </c>
      <c r="E71" t="s">
        <v>8</v>
      </c>
      <c r="F71" t="s">
        <v>12</v>
      </c>
      <c r="G71">
        <v>17663.144199999999</v>
      </c>
      <c r="H71" t="str">
        <f t="shared" si="3"/>
        <v>18-29</v>
      </c>
      <c r="I71" t="str">
        <f t="shared" si="4"/>
        <v>Normal</v>
      </c>
      <c r="J71" t="str">
        <f t="shared" si="5"/>
        <v>No</v>
      </c>
    </row>
    <row r="72" spans="1:10" x14ac:dyDescent="0.25">
      <c r="A72">
        <v>27</v>
      </c>
      <c r="B72" t="s">
        <v>7</v>
      </c>
      <c r="C72">
        <v>24.75</v>
      </c>
      <c r="D72">
        <v>0</v>
      </c>
      <c r="E72" t="s">
        <v>8</v>
      </c>
      <c r="F72" t="s">
        <v>12</v>
      </c>
      <c r="G72">
        <v>16577.779500000001</v>
      </c>
      <c r="H72" t="str">
        <f t="shared" si="3"/>
        <v>18-29</v>
      </c>
      <c r="I72" t="str">
        <f t="shared" si="4"/>
        <v>Normal</v>
      </c>
      <c r="J72" t="str">
        <f t="shared" si="5"/>
        <v>No</v>
      </c>
    </row>
    <row r="73" spans="1:10" x14ac:dyDescent="0.25">
      <c r="A73">
        <v>31</v>
      </c>
      <c r="B73" t="s">
        <v>10</v>
      </c>
      <c r="C73">
        <v>28.5</v>
      </c>
      <c r="D73">
        <v>5</v>
      </c>
      <c r="E73" t="s">
        <v>11</v>
      </c>
      <c r="F73" t="s">
        <v>14</v>
      </c>
      <c r="G73">
        <v>6799.4579999999996</v>
      </c>
      <c r="H73" t="str">
        <f t="shared" si="3"/>
        <v>30-39</v>
      </c>
      <c r="I73" t="str">
        <f t="shared" si="4"/>
        <v>Overweight</v>
      </c>
      <c r="J73" t="str">
        <f t="shared" si="5"/>
        <v>No</v>
      </c>
    </row>
    <row r="74" spans="1:10" x14ac:dyDescent="0.25">
      <c r="A74">
        <v>53</v>
      </c>
      <c r="B74" t="s">
        <v>7</v>
      </c>
      <c r="C74">
        <v>28.1</v>
      </c>
      <c r="D74">
        <v>3</v>
      </c>
      <c r="E74" t="s">
        <v>11</v>
      </c>
      <c r="F74" t="s">
        <v>9</v>
      </c>
      <c r="G74">
        <v>11741.726000000001</v>
      </c>
      <c r="H74" t="str">
        <f t="shared" si="3"/>
        <v>50-59</v>
      </c>
      <c r="I74" t="str">
        <f t="shared" si="4"/>
        <v>Overweight</v>
      </c>
      <c r="J74" t="str">
        <f t="shared" si="5"/>
        <v>No</v>
      </c>
    </row>
    <row r="75" spans="1:10" x14ac:dyDescent="0.25">
      <c r="A75">
        <v>58</v>
      </c>
      <c r="B75" t="s">
        <v>10</v>
      </c>
      <c r="C75">
        <v>32.01</v>
      </c>
      <c r="D75">
        <v>1</v>
      </c>
      <c r="E75" t="s">
        <v>11</v>
      </c>
      <c r="F75" t="s">
        <v>12</v>
      </c>
      <c r="G75">
        <v>11946.625899999999</v>
      </c>
      <c r="H75" t="str">
        <f t="shared" si="3"/>
        <v>50-59</v>
      </c>
      <c r="I75" t="str">
        <f t="shared" si="4"/>
        <v>Obese</v>
      </c>
      <c r="J75" t="str">
        <f t="shared" si="5"/>
        <v>No</v>
      </c>
    </row>
    <row r="76" spans="1:10" x14ac:dyDescent="0.25">
      <c r="A76">
        <v>44</v>
      </c>
      <c r="B76" t="s">
        <v>10</v>
      </c>
      <c r="C76">
        <v>27.4</v>
      </c>
      <c r="D76">
        <v>2</v>
      </c>
      <c r="E76" t="s">
        <v>11</v>
      </c>
      <c r="F76" t="s">
        <v>9</v>
      </c>
      <c r="G76">
        <v>7726.8540000000003</v>
      </c>
      <c r="H76" t="str">
        <f t="shared" si="3"/>
        <v>40-49</v>
      </c>
      <c r="I76" t="str">
        <f t="shared" si="4"/>
        <v>Overweight</v>
      </c>
      <c r="J76" t="str">
        <f t="shared" si="5"/>
        <v>No</v>
      </c>
    </row>
    <row r="77" spans="1:10" x14ac:dyDescent="0.25">
      <c r="A77">
        <v>57</v>
      </c>
      <c r="B77" t="s">
        <v>10</v>
      </c>
      <c r="C77">
        <v>34.01</v>
      </c>
      <c r="D77">
        <v>0</v>
      </c>
      <c r="E77" t="s">
        <v>11</v>
      </c>
      <c r="F77" t="s">
        <v>13</v>
      </c>
      <c r="G77">
        <v>11356.660900000001</v>
      </c>
      <c r="H77" t="str">
        <f t="shared" si="3"/>
        <v>50-59</v>
      </c>
      <c r="I77" t="str">
        <f t="shared" si="4"/>
        <v>Obese</v>
      </c>
      <c r="J77" t="str">
        <f t="shared" si="5"/>
        <v>No</v>
      </c>
    </row>
    <row r="78" spans="1:10" x14ac:dyDescent="0.25">
      <c r="A78">
        <v>29</v>
      </c>
      <c r="B78" t="s">
        <v>7</v>
      </c>
      <c r="C78">
        <v>29.59</v>
      </c>
      <c r="D78">
        <v>1</v>
      </c>
      <c r="E78" t="s">
        <v>11</v>
      </c>
      <c r="F78" t="s">
        <v>12</v>
      </c>
      <c r="G78">
        <v>3947.4131000000002</v>
      </c>
      <c r="H78" t="str">
        <f t="shared" si="3"/>
        <v>18-29</v>
      </c>
      <c r="I78" t="str">
        <f t="shared" si="4"/>
        <v>Overweight</v>
      </c>
      <c r="J78" t="str">
        <f t="shared" si="5"/>
        <v>No</v>
      </c>
    </row>
    <row r="79" spans="1:10" x14ac:dyDescent="0.25">
      <c r="A79">
        <v>21</v>
      </c>
      <c r="B79" t="s">
        <v>10</v>
      </c>
      <c r="C79">
        <v>35.53</v>
      </c>
      <c r="D79">
        <v>0</v>
      </c>
      <c r="E79" t="s">
        <v>11</v>
      </c>
      <c r="F79" t="s">
        <v>12</v>
      </c>
      <c r="G79">
        <v>1532.4697000000001</v>
      </c>
      <c r="H79" t="str">
        <f t="shared" si="3"/>
        <v>18-29</v>
      </c>
      <c r="I79" t="str">
        <f t="shared" si="4"/>
        <v>Obese</v>
      </c>
      <c r="J79" t="str">
        <f t="shared" si="5"/>
        <v>No</v>
      </c>
    </row>
    <row r="80" spans="1:10" x14ac:dyDescent="0.25">
      <c r="A80">
        <v>22</v>
      </c>
      <c r="B80" t="s">
        <v>7</v>
      </c>
      <c r="C80">
        <v>39.805</v>
      </c>
      <c r="D80">
        <v>0</v>
      </c>
      <c r="E80" t="s">
        <v>11</v>
      </c>
      <c r="F80" t="s">
        <v>14</v>
      </c>
      <c r="G80">
        <v>2755.0209500000001</v>
      </c>
      <c r="H80" t="str">
        <f t="shared" si="3"/>
        <v>18-29</v>
      </c>
      <c r="I80" t="str">
        <f t="shared" si="4"/>
        <v>Obese</v>
      </c>
      <c r="J80" t="str">
        <f t="shared" si="5"/>
        <v>No</v>
      </c>
    </row>
    <row r="81" spans="1:10" x14ac:dyDescent="0.25">
      <c r="A81">
        <v>41</v>
      </c>
      <c r="B81" t="s">
        <v>7</v>
      </c>
      <c r="C81">
        <v>32.965000000000003</v>
      </c>
      <c r="D81">
        <v>0</v>
      </c>
      <c r="E81" t="s">
        <v>11</v>
      </c>
      <c r="F81" t="s">
        <v>13</v>
      </c>
      <c r="G81">
        <v>6571.0243499999997</v>
      </c>
      <c r="H81" t="str">
        <f t="shared" si="3"/>
        <v>40-49</v>
      </c>
      <c r="I81" t="str">
        <f t="shared" si="4"/>
        <v>Obese</v>
      </c>
      <c r="J81" t="str">
        <f t="shared" si="5"/>
        <v>No</v>
      </c>
    </row>
    <row r="82" spans="1:10" x14ac:dyDescent="0.25">
      <c r="A82">
        <v>31</v>
      </c>
      <c r="B82" t="s">
        <v>10</v>
      </c>
      <c r="C82">
        <v>26.885000000000002</v>
      </c>
      <c r="D82">
        <v>1</v>
      </c>
      <c r="E82" t="s">
        <v>11</v>
      </c>
      <c r="F82" t="s">
        <v>14</v>
      </c>
      <c r="G82">
        <v>4441.2131499999996</v>
      </c>
      <c r="H82" t="str">
        <f t="shared" si="3"/>
        <v>30-39</v>
      </c>
      <c r="I82" t="str">
        <f t="shared" si="4"/>
        <v>Overweight</v>
      </c>
      <c r="J82" t="str">
        <f t="shared" si="5"/>
        <v>No</v>
      </c>
    </row>
    <row r="83" spans="1:10" x14ac:dyDescent="0.25">
      <c r="A83">
        <v>45</v>
      </c>
      <c r="B83" t="s">
        <v>7</v>
      </c>
      <c r="C83">
        <v>38.284999999999997</v>
      </c>
      <c r="D83">
        <v>0</v>
      </c>
      <c r="E83" t="s">
        <v>11</v>
      </c>
      <c r="F83" t="s">
        <v>14</v>
      </c>
      <c r="G83">
        <v>7935.29115</v>
      </c>
      <c r="H83" t="str">
        <f t="shared" si="3"/>
        <v>40-49</v>
      </c>
      <c r="I83" t="str">
        <f t="shared" si="4"/>
        <v>Obese</v>
      </c>
      <c r="J83" t="str">
        <f t="shared" si="5"/>
        <v>No</v>
      </c>
    </row>
    <row r="84" spans="1:10" x14ac:dyDescent="0.25">
      <c r="A84">
        <v>22</v>
      </c>
      <c r="B84" t="s">
        <v>10</v>
      </c>
      <c r="C84">
        <v>37.619999999999997</v>
      </c>
      <c r="D84">
        <v>1</v>
      </c>
      <c r="E84" t="s">
        <v>8</v>
      </c>
      <c r="F84" t="s">
        <v>12</v>
      </c>
      <c r="G84">
        <v>37165.163800000002</v>
      </c>
      <c r="H84" t="str">
        <f t="shared" si="3"/>
        <v>18-29</v>
      </c>
      <c r="I84" t="str">
        <f t="shared" si="4"/>
        <v>Obese</v>
      </c>
      <c r="J84" t="str">
        <f t="shared" si="5"/>
        <v>Yes</v>
      </c>
    </row>
    <row r="85" spans="1:10" x14ac:dyDescent="0.25">
      <c r="A85">
        <v>48</v>
      </c>
      <c r="B85" t="s">
        <v>7</v>
      </c>
      <c r="C85">
        <v>41.23</v>
      </c>
      <c r="D85">
        <v>4</v>
      </c>
      <c r="E85" t="s">
        <v>11</v>
      </c>
      <c r="F85" t="s">
        <v>13</v>
      </c>
      <c r="G85">
        <v>11033.661700000001</v>
      </c>
      <c r="H85" t="str">
        <f t="shared" si="3"/>
        <v>40-49</v>
      </c>
      <c r="I85" t="str">
        <f t="shared" si="4"/>
        <v>Obese</v>
      </c>
      <c r="J85" t="str">
        <f t="shared" si="5"/>
        <v>No</v>
      </c>
    </row>
    <row r="86" spans="1:10" x14ac:dyDescent="0.25">
      <c r="A86">
        <v>37</v>
      </c>
      <c r="B86" t="s">
        <v>7</v>
      </c>
      <c r="C86">
        <v>34.799999999999997</v>
      </c>
      <c r="D86">
        <v>2</v>
      </c>
      <c r="E86" t="s">
        <v>8</v>
      </c>
      <c r="F86" t="s">
        <v>9</v>
      </c>
      <c r="G86">
        <v>39836.519</v>
      </c>
      <c r="H86" t="str">
        <f t="shared" si="3"/>
        <v>30-39</v>
      </c>
      <c r="I86" t="str">
        <f t="shared" si="4"/>
        <v>Obese</v>
      </c>
      <c r="J86" t="str">
        <f t="shared" si="5"/>
        <v>Yes</v>
      </c>
    </row>
    <row r="87" spans="1:10" x14ac:dyDescent="0.25">
      <c r="A87">
        <v>45</v>
      </c>
      <c r="B87" t="s">
        <v>10</v>
      </c>
      <c r="C87">
        <v>22.895</v>
      </c>
      <c r="D87">
        <v>2</v>
      </c>
      <c r="E87" t="s">
        <v>8</v>
      </c>
      <c r="F87" t="s">
        <v>13</v>
      </c>
      <c r="G87">
        <v>21098.554049999999</v>
      </c>
      <c r="H87" t="str">
        <f t="shared" si="3"/>
        <v>40-49</v>
      </c>
      <c r="I87" t="str">
        <f t="shared" si="4"/>
        <v>Normal</v>
      </c>
      <c r="J87" t="str">
        <f t="shared" si="5"/>
        <v>Yes</v>
      </c>
    </row>
    <row r="88" spans="1:10" x14ac:dyDescent="0.25">
      <c r="A88">
        <v>57</v>
      </c>
      <c r="B88" t="s">
        <v>7</v>
      </c>
      <c r="C88">
        <v>31.16</v>
      </c>
      <c r="D88">
        <v>0</v>
      </c>
      <c r="E88" t="s">
        <v>8</v>
      </c>
      <c r="F88" t="s">
        <v>13</v>
      </c>
      <c r="G88">
        <v>43578.939400000003</v>
      </c>
      <c r="H88" t="str">
        <f t="shared" si="3"/>
        <v>50-59</v>
      </c>
      <c r="I88" t="str">
        <f t="shared" si="4"/>
        <v>Obese</v>
      </c>
      <c r="J88" t="str">
        <f t="shared" si="5"/>
        <v>Yes</v>
      </c>
    </row>
    <row r="89" spans="1:10" x14ac:dyDescent="0.25">
      <c r="A89">
        <v>56</v>
      </c>
      <c r="B89" t="s">
        <v>7</v>
      </c>
      <c r="C89">
        <v>27.2</v>
      </c>
      <c r="D89">
        <v>0</v>
      </c>
      <c r="E89" t="s">
        <v>11</v>
      </c>
      <c r="F89" t="s">
        <v>9</v>
      </c>
      <c r="G89">
        <v>11073.175999999999</v>
      </c>
      <c r="H89" t="str">
        <f t="shared" si="3"/>
        <v>50-59</v>
      </c>
      <c r="I89" t="str">
        <f t="shared" si="4"/>
        <v>Overweight</v>
      </c>
      <c r="J89" t="str">
        <f t="shared" si="5"/>
        <v>No</v>
      </c>
    </row>
    <row r="90" spans="1:10" x14ac:dyDescent="0.25">
      <c r="A90">
        <v>46</v>
      </c>
      <c r="B90" t="s">
        <v>7</v>
      </c>
      <c r="C90">
        <v>27.74</v>
      </c>
      <c r="D90">
        <v>0</v>
      </c>
      <c r="E90" t="s">
        <v>11</v>
      </c>
      <c r="F90" t="s">
        <v>13</v>
      </c>
      <c r="G90">
        <v>8026.6665999999996</v>
      </c>
      <c r="H90" t="str">
        <f t="shared" si="3"/>
        <v>40-49</v>
      </c>
      <c r="I90" t="str">
        <f t="shared" si="4"/>
        <v>Overweight</v>
      </c>
      <c r="J90" t="str">
        <f t="shared" si="5"/>
        <v>No</v>
      </c>
    </row>
    <row r="91" spans="1:10" x14ac:dyDescent="0.25">
      <c r="A91">
        <v>55</v>
      </c>
      <c r="B91" t="s">
        <v>7</v>
      </c>
      <c r="C91">
        <v>26.98</v>
      </c>
      <c r="D91">
        <v>0</v>
      </c>
      <c r="E91" t="s">
        <v>11</v>
      </c>
      <c r="F91" t="s">
        <v>13</v>
      </c>
      <c r="G91">
        <v>11082.5772</v>
      </c>
      <c r="H91" t="str">
        <f t="shared" si="3"/>
        <v>50-59</v>
      </c>
      <c r="I91" t="str">
        <f t="shared" si="4"/>
        <v>Overweight</v>
      </c>
      <c r="J91" t="str">
        <f t="shared" si="5"/>
        <v>No</v>
      </c>
    </row>
    <row r="92" spans="1:10" x14ac:dyDescent="0.25">
      <c r="A92">
        <v>21</v>
      </c>
      <c r="B92" t="s">
        <v>7</v>
      </c>
      <c r="C92">
        <v>39.49</v>
      </c>
      <c r="D92">
        <v>0</v>
      </c>
      <c r="E92" t="s">
        <v>11</v>
      </c>
      <c r="F92" t="s">
        <v>12</v>
      </c>
      <c r="G92">
        <v>2026.9740999999999</v>
      </c>
      <c r="H92" t="str">
        <f t="shared" si="3"/>
        <v>18-29</v>
      </c>
      <c r="I92" t="str">
        <f t="shared" si="4"/>
        <v>Obese</v>
      </c>
      <c r="J92" t="str">
        <f t="shared" si="5"/>
        <v>No</v>
      </c>
    </row>
    <row r="93" spans="1:10" x14ac:dyDescent="0.25">
      <c r="A93">
        <v>53</v>
      </c>
      <c r="B93" t="s">
        <v>7</v>
      </c>
      <c r="C93">
        <v>24.795000000000002</v>
      </c>
      <c r="D93">
        <v>1</v>
      </c>
      <c r="E93" t="s">
        <v>11</v>
      </c>
      <c r="F93" t="s">
        <v>13</v>
      </c>
      <c r="G93">
        <v>10942.13205</v>
      </c>
      <c r="H93" t="str">
        <f t="shared" si="3"/>
        <v>50-59</v>
      </c>
      <c r="I93" t="str">
        <f t="shared" si="4"/>
        <v>Normal</v>
      </c>
      <c r="J93" t="str">
        <f t="shared" si="5"/>
        <v>No</v>
      </c>
    </row>
    <row r="94" spans="1:10" x14ac:dyDescent="0.25">
      <c r="A94">
        <v>59</v>
      </c>
      <c r="B94" t="s">
        <v>10</v>
      </c>
      <c r="C94">
        <v>29.83</v>
      </c>
      <c r="D94">
        <v>3</v>
      </c>
      <c r="E94" t="s">
        <v>8</v>
      </c>
      <c r="F94" t="s">
        <v>14</v>
      </c>
      <c r="G94">
        <v>30184.936699999998</v>
      </c>
      <c r="H94" t="str">
        <f t="shared" si="3"/>
        <v>50-59</v>
      </c>
      <c r="I94" t="str">
        <f t="shared" si="4"/>
        <v>Overweight</v>
      </c>
      <c r="J94" t="str">
        <f t="shared" si="5"/>
        <v>Yes</v>
      </c>
    </row>
    <row r="95" spans="1:10" x14ac:dyDescent="0.25">
      <c r="A95">
        <v>35</v>
      </c>
      <c r="B95" t="s">
        <v>10</v>
      </c>
      <c r="C95">
        <v>34.770000000000003</v>
      </c>
      <c r="D95">
        <v>2</v>
      </c>
      <c r="E95" t="s">
        <v>11</v>
      </c>
      <c r="F95" t="s">
        <v>13</v>
      </c>
      <c r="G95">
        <v>5729.0052999999998</v>
      </c>
      <c r="H95" t="str">
        <f t="shared" si="3"/>
        <v>30-39</v>
      </c>
      <c r="I95" t="str">
        <f t="shared" si="4"/>
        <v>Obese</v>
      </c>
      <c r="J95" t="str">
        <f t="shared" si="5"/>
        <v>No</v>
      </c>
    </row>
    <row r="96" spans="1:10" x14ac:dyDescent="0.25">
      <c r="A96">
        <v>64</v>
      </c>
      <c r="B96" t="s">
        <v>7</v>
      </c>
      <c r="C96">
        <v>31.3</v>
      </c>
      <c r="D96">
        <v>2</v>
      </c>
      <c r="E96" t="s">
        <v>8</v>
      </c>
      <c r="F96" t="s">
        <v>9</v>
      </c>
      <c r="G96">
        <v>47291.055</v>
      </c>
      <c r="H96" t="str">
        <f t="shared" si="3"/>
        <v>60+</v>
      </c>
      <c r="I96" t="str">
        <f t="shared" si="4"/>
        <v>Obese</v>
      </c>
      <c r="J96" t="str">
        <f t="shared" si="5"/>
        <v>Yes</v>
      </c>
    </row>
    <row r="97" spans="1:10" x14ac:dyDescent="0.25">
      <c r="A97">
        <v>28</v>
      </c>
      <c r="B97" t="s">
        <v>7</v>
      </c>
      <c r="C97">
        <v>37.619999999999997</v>
      </c>
      <c r="D97">
        <v>1</v>
      </c>
      <c r="E97" t="s">
        <v>11</v>
      </c>
      <c r="F97" t="s">
        <v>12</v>
      </c>
      <c r="G97">
        <v>3766.8838000000001</v>
      </c>
      <c r="H97" t="str">
        <f t="shared" si="3"/>
        <v>18-29</v>
      </c>
      <c r="I97" t="str">
        <f t="shared" si="4"/>
        <v>Obese</v>
      </c>
      <c r="J97" t="str">
        <f t="shared" si="5"/>
        <v>No</v>
      </c>
    </row>
    <row r="98" spans="1:10" x14ac:dyDescent="0.25">
      <c r="A98">
        <v>54</v>
      </c>
      <c r="B98" t="s">
        <v>7</v>
      </c>
      <c r="C98">
        <v>30.8</v>
      </c>
      <c r="D98">
        <v>3</v>
      </c>
      <c r="E98" t="s">
        <v>11</v>
      </c>
      <c r="F98" t="s">
        <v>9</v>
      </c>
      <c r="G98">
        <v>12105.32</v>
      </c>
      <c r="H98" t="str">
        <f t="shared" si="3"/>
        <v>50-59</v>
      </c>
      <c r="I98" t="str">
        <f t="shared" si="4"/>
        <v>Obese</v>
      </c>
      <c r="J98" t="str">
        <f t="shared" si="5"/>
        <v>No</v>
      </c>
    </row>
    <row r="99" spans="1:10" x14ac:dyDescent="0.25">
      <c r="A99">
        <v>55</v>
      </c>
      <c r="B99" t="s">
        <v>10</v>
      </c>
      <c r="C99">
        <v>38.28</v>
      </c>
      <c r="D99">
        <v>0</v>
      </c>
      <c r="E99" t="s">
        <v>11</v>
      </c>
      <c r="F99" t="s">
        <v>12</v>
      </c>
      <c r="G99">
        <v>10226.2842</v>
      </c>
      <c r="H99" t="str">
        <f t="shared" si="3"/>
        <v>50-59</v>
      </c>
      <c r="I99" t="str">
        <f t="shared" si="4"/>
        <v>Obese</v>
      </c>
      <c r="J99" t="str">
        <f t="shared" si="5"/>
        <v>No</v>
      </c>
    </row>
    <row r="100" spans="1:10" x14ac:dyDescent="0.25">
      <c r="A100">
        <v>56</v>
      </c>
      <c r="B100" t="s">
        <v>10</v>
      </c>
      <c r="C100">
        <v>19.95</v>
      </c>
      <c r="D100">
        <v>0</v>
      </c>
      <c r="E100" t="s">
        <v>8</v>
      </c>
      <c r="F100" t="s">
        <v>14</v>
      </c>
      <c r="G100">
        <v>22412.648499999999</v>
      </c>
      <c r="H100" t="str">
        <f t="shared" si="3"/>
        <v>50-59</v>
      </c>
      <c r="I100" t="str">
        <f t="shared" si="4"/>
        <v>Normal</v>
      </c>
      <c r="J100" t="str">
        <f t="shared" si="5"/>
        <v>Yes</v>
      </c>
    </row>
    <row r="101" spans="1:10" x14ac:dyDescent="0.25">
      <c r="A101">
        <v>38</v>
      </c>
      <c r="B101" t="s">
        <v>10</v>
      </c>
      <c r="C101">
        <v>19.3</v>
      </c>
      <c r="D101">
        <v>0</v>
      </c>
      <c r="E101" t="s">
        <v>8</v>
      </c>
      <c r="F101" t="s">
        <v>9</v>
      </c>
      <c r="G101">
        <v>15820.699000000001</v>
      </c>
      <c r="H101" t="str">
        <f t="shared" si="3"/>
        <v>30-39</v>
      </c>
      <c r="I101" t="str">
        <f t="shared" si="4"/>
        <v>Normal</v>
      </c>
      <c r="J101" t="str">
        <f t="shared" si="5"/>
        <v>No</v>
      </c>
    </row>
    <row r="102" spans="1:10" x14ac:dyDescent="0.25">
      <c r="A102">
        <v>41</v>
      </c>
      <c r="B102" t="s">
        <v>7</v>
      </c>
      <c r="C102">
        <v>31.6</v>
      </c>
      <c r="D102">
        <v>0</v>
      </c>
      <c r="E102" t="s">
        <v>11</v>
      </c>
      <c r="F102" t="s">
        <v>9</v>
      </c>
      <c r="G102">
        <v>6186.1270000000004</v>
      </c>
      <c r="H102" t="str">
        <f t="shared" si="3"/>
        <v>40-49</v>
      </c>
      <c r="I102" t="str">
        <f t="shared" si="4"/>
        <v>Obese</v>
      </c>
      <c r="J102" t="str">
        <f t="shared" si="5"/>
        <v>No</v>
      </c>
    </row>
    <row r="103" spans="1:10" x14ac:dyDescent="0.25">
      <c r="A103">
        <v>30</v>
      </c>
      <c r="B103" t="s">
        <v>10</v>
      </c>
      <c r="C103">
        <v>25.46</v>
      </c>
      <c r="D103">
        <v>0</v>
      </c>
      <c r="E103" t="s">
        <v>11</v>
      </c>
      <c r="F103" t="s">
        <v>14</v>
      </c>
      <c r="G103">
        <v>3645.0893999999998</v>
      </c>
      <c r="H103" t="str">
        <f t="shared" si="3"/>
        <v>30-39</v>
      </c>
      <c r="I103" t="str">
        <f t="shared" si="4"/>
        <v>Overweight</v>
      </c>
      <c r="J103" t="str">
        <f t="shared" si="5"/>
        <v>No</v>
      </c>
    </row>
    <row r="104" spans="1:10" x14ac:dyDescent="0.25">
      <c r="A104">
        <v>18</v>
      </c>
      <c r="B104" t="s">
        <v>7</v>
      </c>
      <c r="C104">
        <v>30.114999999999998</v>
      </c>
      <c r="D104">
        <v>0</v>
      </c>
      <c r="E104" t="s">
        <v>11</v>
      </c>
      <c r="F104" t="s">
        <v>14</v>
      </c>
      <c r="G104">
        <v>21344.846699999998</v>
      </c>
      <c r="H104" t="str">
        <f t="shared" si="3"/>
        <v>18-29</v>
      </c>
      <c r="I104" t="str">
        <f t="shared" si="4"/>
        <v>Obese</v>
      </c>
      <c r="J104" t="str">
        <f t="shared" si="5"/>
        <v>Yes</v>
      </c>
    </row>
    <row r="105" spans="1:10" x14ac:dyDescent="0.25">
      <c r="A105">
        <v>61</v>
      </c>
      <c r="B105" t="s">
        <v>7</v>
      </c>
      <c r="C105">
        <v>29.92</v>
      </c>
      <c r="D105">
        <v>3</v>
      </c>
      <c r="E105" t="s">
        <v>8</v>
      </c>
      <c r="F105" t="s">
        <v>12</v>
      </c>
      <c r="G105">
        <v>30942.191800000001</v>
      </c>
      <c r="H105" t="str">
        <f t="shared" si="3"/>
        <v>60+</v>
      </c>
      <c r="I105" t="str">
        <f t="shared" si="4"/>
        <v>Overweight</v>
      </c>
      <c r="J105" t="str">
        <f t="shared" si="5"/>
        <v>Yes</v>
      </c>
    </row>
    <row r="106" spans="1:10" x14ac:dyDescent="0.25">
      <c r="A106">
        <v>34</v>
      </c>
      <c r="B106" t="s">
        <v>7</v>
      </c>
      <c r="C106">
        <v>27.5</v>
      </c>
      <c r="D106">
        <v>1</v>
      </c>
      <c r="E106" t="s">
        <v>11</v>
      </c>
      <c r="F106" t="s">
        <v>9</v>
      </c>
      <c r="G106">
        <v>5003.8530000000001</v>
      </c>
      <c r="H106" t="str">
        <f t="shared" si="3"/>
        <v>30-39</v>
      </c>
      <c r="I106" t="str">
        <f t="shared" si="4"/>
        <v>Overweight</v>
      </c>
      <c r="J106" t="str">
        <f t="shared" si="5"/>
        <v>No</v>
      </c>
    </row>
    <row r="107" spans="1:10" x14ac:dyDescent="0.25">
      <c r="A107">
        <v>20</v>
      </c>
      <c r="B107" t="s">
        <v>10</v>
      </c>
      <c r="C107">
        <v>28.024999999999999</v>
      </c>
      <c r="D107">
        <v>1</v>
      </c>
      <c r="E107" t="s">
        <v>8</v>
      </c>
      <c r="F107" t="s">
        <v>13</v>
      </c>
      <c r="G107">
        <v>17560.37975</v>
      </c>
      <c r="H107" t="str">
        <f t="shared" si="3"/>
        <v>18-29</v>
      </c>
      <c r="I107" t="str">
        <f t="shared" si="4"/>
        <v>Overweight</v>
      </c>
      <c r="J107" t="str">
        <f t="shared" si="5"/>
        <v>No</v>
      </c>
    </row>
    <row r="108" spans="1:10" x14ac:dyDescent="0.25">
      <c r="A108">
        <v>19</v>
      </c>
      <c r="B108" t="s">
        <v>7</v>
      </c>
      <c r="C108">
        <v>28.4</v>
      </c>
      <c r="D108">
        <v>1</v>
      </c>
      <c r="E108" t="s">
        <v>11</v>
      </c>
      <c r="F108" t="s">
        <v>9</v>
      </c>
      <c r="G108">
        <v>2331.5189999999998</v>
      </c>
      <c r="H108" t="str">
        <f t="shared" si="3"/>
        <v>18-29</v>
      </c>
      <c r="I108" t="str">
        <f t="shared" si="4"/>
        <v>Overweight</v>
      </c>
      <c r="J108" t="str">
        <f t="shared" si="5"/>
        <v>No</v>
      </c>
    </row>
    <row r="109" spans="1:10" x14ac:dyDescent="0.25">
      <c r="A109">
        <v>26</v>
      </c>
      <c r="B109" t="s">
        <v>10</v>
      </c>
      <c r="C109">
        <v>30.875</v>
      </c>
      <c r="D109">
        <v>2</v>
      </c>
      <c r="E109" t="s">
        <v>11</v>
      </c>
      <c r="F109" t="s">
        <v>13</v>
      </c>
      <c r="G109">
        <v>3877.3042500000001</v>
      </c>
      <c r="H109" t="str">
        <f t="shared" si="3"/>
        <v>18-29</v>
      </c>
      <c r="I109" t="str">
        <f t="shared" si="4"/>
        <v>Obese</v>
      </c>
      <c r="J109" t="str">
        <f t="shared" si="5"/>
        <v>No</v>
      </c>
    </row>
    <row r="110" spans="1:10" x14ac:dyDescent="0.25">
      <c r="A110">
        <v>29</v>
      </c>
      <c r="B110" t="s">
        <v>10</v>
      </c>
      <c r="C110">
        <v>27.94</v>
      </c>
      <c r="D110">
        <v>0</v>
      </c>
      <c r="E110" t="s">
        <v>11</v>
      </c>
      <c r="F110" t="s">
        <v>12</v>
      </c>
      <c r="G110">
        <v>2867.1196</v>
      </c>
      <c r="H110" t="str">
        <f t="shared" si="3"/>
        <v>18-29</v>
      </c>
      <c r="I110" t="str">
        <f t="shared" si="4"/>
        <v>Overweight</v>
      </c>
      <c r="J110" t="str">
        <f t="shared" si="5"/>
        <v>No</v>
      </c>
    </row>
    <row r="111" spans="1:10" x14ac:dyDescent="0.25">
      <c r="A111">
        <v>63</v>
      </c>
      <c r="B111" t="s">
        <v>10</v>
      </c>
      <c r="C111">
        <v>35.090000000000003</v>
      </c>
      <c r="D111">
        <v>0</v>
      </c>
      <c r="E111" t="s">
        <v>8</v>
      </c>
      <c r="F111" t="s">
        <v>12</v>
      </c>
      <c r="G111">
        <v>47055.532099999997</v>
      </c>
      <c r="H111" t="str">
        <f t="shared" si="3"/>
        <v>60+</v>
      </c>
      <c r="I111" t="str">
        <f t="shared" si="4"/>
        <v>Obese</v>
      </c>
      <c r="J111" t="str">
        <f t="shared" si="5"/>
        <v>Yes</v>
      </c>
    </row>
    <row r="112" spans="1:10" x14ac:dyDescent="0.25">
      <c r="A112">
        <v>54</v>
      </c>
      <c r="B112" t="s">
        <v>10</v>
      </c>
      <c r="C112">
        <v>33.630000000000003</v>
      </c>
      <c r="D112">
        <v>1</v>
      </c>
      <c r="E112" t="s">
        <v>11</v>
      </c>
      <c r="F112" t="s">
        <v>13</v>
      </c>
      <c r="G112">
        <v>10825.253699999999</v>
      </c>
      <c r="H112" t="str">
        <f t="shared" si="3"/>
        <v>50-59</v>
      </c>
      <c r="I112" t="str">
        <f t="shared" si="4"/>
        <v>Obese</v>
      </c>
      <c r="J112" t="str">
        <f t="shared" si="5"/>
        <v>No</v>
      </c>
    </row>
    <row r="113" spans="1:10" x14ac:dyDescent="0.25">
      <c r="A113">
        <v>55</v>
      </c>
      <c r="B113" t="s">
        <v>7</v>
      </c>
      <c r="C113">
        <v>29.7</v>
      </c>
      <c r="D113">
        <v>2</v>
      </c>
      <c r="E113" t="s">
        <v>11</v>
      </c>
      <c r="F113" t="s">
        <v>9</v>
      </c>
      <c r="G113">
        <v>11881.358</v>
      </c>
      <c r="H113" t="str">
        <f t="shared" si="3"/>
        <v>50-59</v>
      </c>
      <c r="I113" t="str">
        <f t="shared" si="4"/>
        <v>Overweight</v>
      </c>
      <c r="J113" t="str">
        <f t="shared" si="5"/>
        <v>No</v>
      </c>
    </row>
    <row r="114" spans="1:10" x14ac:dyDescent="0.25">
      <c r="A114">
        <v>37</v>
      </c>
      <c r="B114" t="s">
        <v>10</v>
      </c>
      <c r="C114">
        <v>30.8</v>
      </c>
      <c r="D114">
        <v>0</v>
      </c>
      <c r="E114" t="s">
        <v>11</v>
      </c>
      <c r="F114" t="s">
        <v>9</v>
      </c>
      <c r="G114">
        <v>4646.759</v>
      </c>
      <c r="H114" t="str">
        <f t="shared" si="3"/>
        <v>30-39</v>
      </c>
      <c r="I114" t="str">
        <f t="shared" si="4"/>
        <v>Obese</v>
      </c>
      <c r="J114" t="str">
        <f t="shared" si="5"/>
        <v>No</v>
      </c>
    </row>
    <row r="115" spans="1:10" x14ac:dyDescent="0.25">
      <c r="A115">
        <v>21</v>
      </c>
      <c r="B115" t="s">
        <v>7</v>
      </c>
      <c r="C115">
        <v>35.72</v>
      </c>
      <c r="D115">
        <v>0</v>
      </c>
      <c r="E115" t="s">
        <v>11</v>
      </c>
      <c r="F115" t="s">
        <v>13</v>
      </c>
      <c r="G115">
        <v>2404.7338</v>
      </c>
      <c r="H115" t="str">
        <f t="shared" si="3"/>
        <v>18-29</v>
      </c>
      <c r="I115" t="str">
        <f t="shared" si="4"/>
        <v>Obese</v>
      </c>
      <c r="J115" t="str">
        <f t="shared" si="5"/>
        <v>No</v>
      </c>
    </row>
    <row r="116" spans="1:10" x14ac:dyDescent="0.25">
      <c r="A116">
        <v>52</v>
      </c>
      <c r="B116" t="s">
        <v>10</v>
      </c>
      <c r="C116">
        <v>32.204999999999998</v>
      </c>
      <c r="D116">
        <v>3</v>
      </c>
      <c r="E116" t="s">
        <v>11</v>
      </c>
      <c r="F116" t="s">
        <v>14</v>
      </c>
      <c r="G116">
        <v>11488.31695</v>
      </c>
      <c r="H116" t="str">
        <f t="shared" si="3"/>
        <v>50-59</v>
      </c>
      <c r="I116" t="str">
        <f t="shared" si="4"/>
        <v>Obese</v>
      </c>
      <c r="J116" t="str">
        <f t="shared" si="5"/>
        <v>No</v>
      </c>
    </row>
    <row r="117" spans="1:10" x14ac:dyDescent="0.25">
      <c r="A117">
        <v>60</v>
      </c>
      <c r="B117" t="s">
        <v>10</v>
      </c>
      <c r="C117">
        <v>28.594999999999999</v>
      </c>
      <c r="D117">
        <v>0</v>
      </c>
      <c r="E117" t="s">
        <v>11</v>
      </c>
      <c r="F117" t="s">
        <v>14</v>
      </c>
      <c r="G117">
        <v>30259.995559999999</v>
      </c>
      <c r="H117" t="str">
        <f t="shared" si="3"/>
        <v>60+</v>
      </c>
      <c r="I117" t="str">
        <f t="shared" si="4"/>
        <v>Overweight</v>
      </c>
      <c r="J117" t="str">
        <f t="shared" si="5"/>
        <v>Yes</v>
      </c>
    </row>
    <row r="118" spans="1:10" x14ac:dyDescent="0.25">
      <c r="A118">
        <v>58</v>
      </c>
      <c r="B118" t="s">
        <v>10</v>
      </c>
      <c r="C118">
        <v>49.06</v>
      </c>
      <c r="D118">
        <v>0</v>
      </c>
      <c r="E118" t="s">
        <v>11</v>
      </c>
      <c r="F118" t="s">
        <v>12</v>
      </c>
      <c r="G118">
        <v>11381.3254</v>
      </c>
      <c r="H118" t="str">
        <f t="shared" si="3"/>
        <v>50-59</v>
      </c>
      <c r="I118" t="str">
        <f t="shared" si="4"/>
        <v>Obese</v>
      </c>
      <c r="J118" t="str">
        <f t="shared" si="5"/>
        <v>No</v>
      </c>
    </row>
    <row r="119" spans="1:10" x14ac:dyDescent="0.25">
      <c r="A119">
        <v>29</v>
      </c>
      <c r="B119" t="s">
        <v>7</v>
      </c>
      <c r="C119">
        <v>27.94</v>
      </c>
      <c r="D119">
        <v>1</v>
      </c>
      <c r="E119" t="s">
        <v>8</v>
      </c>
      <c r="F119" t="s">
        <v>12</v>
      </c>
      <c r="G119">
        <v>19107.779600000002</v>
      </c>
      <c r="H119" t="str">
        <f t="shared" si="3"/>
        <v>18-29</v>
      </c>
      <c r="I119" t="str">
        <f t="shared" si="4"/>
        <v>Overweight</v>
      </c>
      <c r="J119" t="str">
        <f t="shared" si="5"/>
        <v>No</v>
      </c>
    </row>
    <row r="120" spans="1:10" x14ac:dyDescent="0.25">
      <c r="A120">
        <v>49</v>
      </c>
      <c r="B120" t="s">
        <v>7</v>
      </c>
      <c r="C120">
        <v>27.17</v>
      </c>
      <c r="D120">
        <v>0</v>
      </c>
      <c r="E120" t="s">
        <v>11</v>
      </c>
      <c r="F120" t="s">
        <v>12</v>
      </c>
      <c r="G120">
        <v>8601.3292999999994</v>
      </c>
      <c r="H120" t="str">
        <f t="shared" si="3"/>
        <v>40-49</v>
      </c>
      <c r="I120" t="str">
        <f t="shared" si="4"/>
        <v>Overweight</v>
      </c>
      <c r="J120" t="str">
        <f t="shared" si="5"/>
        <v>No</v>
      </c>
    </row>
    <row r="121" spans="1:10" x14ac:dyDescent="0.25">
      <c r="A121">
        <v>37</v>
      </c>
      <c r="B121" t="s">
        <v>7</v>
      </c>
      <c r="C121">
        <v>23.37</v>
      </c>
      <c r="D121">
        <v>2</v>
      </c>
      <c r="E121" t="s">
        <v>11</v>
      </c>
      <c r="F121" t="s">
        <v>13</v>
      </c>
      <c r="G121">
        <v>6686.4313000000002</v>
      </c>
      <c r="H121" t="str">
        <f t="shared" si="3"/>
        <v>30-39</v>
      </c>
      <c r="I121" t="str">
        <f t="shared" si="4"/>
        <v>Normal</v>
      </c>
      <c r="J121" t="str">
        <f t="shared" si="5"/>
        <v>No</v>
      </c>
    </row>
    <row r="122" spans="1:10" x14ac:dyDescent="0.25">
      <c r="A122">
        <v>44</v>
      </c>
      <c r="B122" t="s">
        <v>10</v>
      </c>
      <c r="C122">
        <v>37.1</v>
      </c>
      <c r="D122">
        <v>2</v>
      </c>
      <c r="E122" t="s">
        <v>11</v>
      </c>
      <c r="F122" t="s">
        <v>9</v>
      </c>
      <c r="G122">
        <v>7740.3370000000004</v>
      </c>
      <c r="H122" t="str">
        <f t="shared" si="3"/>
        <v>40-49</v>
      </c>
      <c r="I122" t="str">
        <f t="shared" si="4"/>
        <v>Obese</v>
      </c>
      <c r="J122" t="str">
        <f t="shared" si="5"/>
        <v>No</v>
      </c>
    </row>
    <row r="123" spans="1:10" x14ac:dyDescent="0.25">
      <c r="A123">
        <v>18</v>
      </c>
      <c r="B123" t="s">
        <v>10</v>
      </c>
      <c r="C123">
        <v>23.75</v>
      </c>
      <c r="D123">
        <v>0</v>
      </c>
      <c r="E123" t="s">
        <v>11</v>
      </c>
      <c r="F123" t="s">
        <v>14</v>
      </c>
      <c r="G123">
        <v>1705.6244999999999</v>
      </c>
      <c r="H123" t="str">
        <f t="shared" si="3"/>
        <v>18-29</v>
      </c>
      <c r="I123" t="str">
        <f t="shared" si="4"/>
        <v>Normal</v>
      </c>
      <c r="J123" t="str">
        <f t="shared" si="5"/>
        <v>No</v>
      </c>
    </row>
    <row r="124" spans="1:10" x14ac:dyDescent="0.25">
      <c r="A124">
        <v>20</v>
      </c>
      <c r="B124" t="s">
        <v>7</v>
      </c>
      <c r="C124">
        <v>28.975000000000001</v>
      </c>
      <c r="D124">
        <v>0</v>
      </c>
      <c r="E124" t="s">
        <v>11</v>
      </c>
      <c r="F124" t="s">
        <v>13</v>
      </c>
      <c r="G124">
        <v>2257.47525</v>
      </c>
      <c r="H124" t="str">
        <f t="shared" si="3"/>
        <v>18-29</v>
      </c>
      <c r="I124" t="str">
        <f t="shared" si="4"/>
        <v>Overweight</v>
      </c>
      <c r="J124" t="str">
        <f t="shared" si="5"/>
        <v>No</v>
      </c>
    </row>
    <row r="125" spans="1:10" x14ac:dyDescent="0.25">
      <c r="A125">
        <v>44</v>
      </c>
      <c r="B125" t="s">
        <v>10</v>
      </c>
      <c r="C125">
        <v>31.35</v>
      </c>
      <c r="D125">
        <v>1</v>
      </c>
      <c r="E125" t="s">
        <v>8</v>
      </c>
      <c r="F125" t="s">
        <v>14</v>
      </c>
      <c r="G125">
        <v>39556.494500000001</v>
      </c>
      <c r="H125" t="str">
        <f t="shared" si="3"/>
        <v>40-49</v>
      </c>
      <c r="I125" t="str">
        <f t="shared" si="4"/>
        <v>Obese</v>
      </c>
      <c r="J125" t="str">
        <f t="shared" si="5"/>
        <v>Yes</v>
      </c>
    </row>
    <row r="126" spans="1:10" x14ac:dyDescent="0.25">
      <c r="A126">
        <v>47</v>
      </c>
      <c r="B126" t="s">
        <v>7</v>
      </c>
      <c r="C126">
        <v>33.914999999999999</v>
      </c>
      <c r="D126">
        <v>3</v>
      </c>
      <c r="E126" t="s">
        <v>11</v>
      </c>
      <c r="F126" t="s">
        <v>13</v>
      </c>
      <c r="G126">
        <v>10115.00885</v>
      </c>
      <c r="H126" t="str">
        <f t="shared" si="3"/>
        <v>40-49</v>
      </c>
      <c r="I126" t="str">
        <f t="shared" si="4"/>
        <v>Obese</v>
      </c>
      <c r="J126" t="str">
        <f t="shared" si="5"/>
        <v>No</v>
      </c>
    </row>
    <row r="127" spans="1:10" x14ac:dyDescent="0.25">
      <c r="A127">
        <v>26</v>
      </c>
      <c r="B127" t="s">
        <v>7</v>
      </c>
      <c r="C127">
        <v>28.785</v>
      </c>
      <c r="D127">
        <v>0</v>
      </c>
      <c r="E127" t="s">
        <v>11</v>
      </c>
      <c r="F127" t="s">
        <v>14</v>
      </c>
      <c r="G127">
        <v>3385.3991500000002</v>
      </c>
      <c r="H127" t="str">
        <f t="shared" si="3"/>
        <v>18-29</v>
      </c>
      <c r="I127" t="str">
        <f t="shared" si="4"/>
        <v>Overweight</v>
      </c>
      <c r="J127" t="str">
        <f t="shared" si="5"/>
        <v>No</v>
      </c>
    </row>
    <row r="128" spans="1:10" x14ac:dyDescent="0.25">
      <c r="A128">
        <v>19</v>
      </c>
      <c r="B128" t="s">
        <v>7</v>
      </c>
      <c r="C128">
        <v>28.3</v>
      </c>
      <c r="D128">
        <v>0</v>
      </c>
      <c r="E128" t="s">
        <v>8</v>
      </c>
      <c r="F128" t="s">
        <v>9</v>
      </c>
      <c r="G128">
        <v>17081.080000000002</v>
      </c>
      <c r="H128" t="str">
        <f t="shared" si="3"/>
        <v>18-29</v>
      </c>
      <c r="I128" t="str">
        <f t="shared" si="4"/>
        <v>Overweight</v>
      </c>
      <c r="J128" t="str">
        <f t="shared" si="5"/>
        <v>No</v>
      </c>
    </row>
    <row r="129" spans="1:10" x14ac:dyDescent="0.25">
      <c r="A129">
        <v>52</v>
      </c>
      <c r="B129" t="s">
        <v>7</v>
      </c>
      <c r="C129">
        <v>37.4</v>
      </c>
      <c r="D129">
        <v>0</v>
      </c>
      <c r="E129" t="s">
        <v>11</v>
      </c>
      <c r="F129" t="s">
        <v>9</v>
      </c>
      <c r="G129">
        <v>9634.5380000000005</v>
      </c>
      <c r="H129" t="str">
        <f t="shared" si="3"/>
        <v>50-59</v>
      </c>
      <c r="I129" t="str">
        <f t="shared" si="4"/>
        <v>Obese</v>
      </c>
      <c r="J129" t="str">
        <f t="shared" si="5"/>
        <v>No</v>
      </c>
    </row>
    <row r="130" spans="1:10" x14ac:dyDescent="0.25">
      <c r="A130">
        <v>32</v>
      </c>
      <c r="B130" t="s">
        <v>7</v>
      </c>
      <c r="C130">
        <v>17.765000000000001</v>
      </c>
      <c r="D130">
        <v>2</v>
      </c>
      <c r="E130" t="s">
        <v>8</v>
      </c>
      <c r="F130" t="s">
        <v>13</v>
      </c>
      <c r="G130">
        <v>32734.186300000001</v>
      </c>
      <c r="H130" t="str">
        <f t="shared" ref="H130:H193" si="6">IF(A130&lt;30, "18-29", IF(A130&lt;40, "30-39", IF(A130&lt;50, "40-49", IF(A130&lt;60, "50-59", "60+"))))</f>
        <v>30-39</v>
      </c>
      <c r="I130" t="str">
        <f t="shared" ref="I130:I193" si="7">IF(C130&lt;18.5, "Underweight", IF(C130&lt;25, "Normal", IF(C130&lt;30,"Overweight","Obese")))</f>
        <v>Underweight</v>
      </c>
      <c r="J130" t="str">
        <f t="shared" ref="J130:J193" si="8">IF(G130&gt;20000,"Yes","No")</f>
        <v>Yes</v>
      </c>
    </row>
    <row r="131" spans="1:10" x14ac:dyDescent="0.25">
      <c r="A131">
        <v>38</v>
      </c>
      <c r="B131" t="s">
        <v>10</v>
      </c>
      <c r="C131">
        <v>34.700000000000003</v>
      </c>
      <c r="D131">
        <v>2</v>
      </c>
      <c r="E131" t="s">
        <v>11</v>
      </c>
      <c r="F131" t="s">
        <v>9</v>
      </c>
      <c r="G131">
        <v>6082.4049999999997</v>
      </c>
      <c r="H131" t="str">
        <f t="shared" si="6"/>
        <v>30-39</v>
      </c>
      <c r="I131" t="str">
        <f t="shared" si="7"/>
        <v>Obese</v>
      </c>
      <c r="J131" t="str">
        <f t="shared" si="8"/>
        <v>No</v>
      </c>
    </row>
    <row r="132" spans="1:10" x14ac:dyDescent="0.25">
      <c r="A132">
        <v>59</v>
      </c>
      <c r="B132" t="s">
        <v>7</v>
      </c>
      <c r="C132">
        <v>26.504999999999999</v>
      </c>
      <c r="D132">
        <v>0</v>
      </c>
      <c r="E132" t="s">
        <v>11</v>
      </c>
      <c r="F132" t="s">
        <v>14</v>
      </c>
      <c r="G132">
        <v>12815.444949999999</v>
      </c>
      <c r="H132" t="str">
        <f t="shared" si="6"/>
        <v>50-59</v>
      </c>
      <c r="I132" t="str">
        <f t="shared" si="7"/>
        <v>Overweight</v>
      </c>
      <c r="J132" t="str">
        <f t="shared" si="8"/>
        <v>No</v>
      </c>
    </row>
    <row r="133" spans="1:10" x14ac:dyDescent="0.25">
      <c r="A133">
        <v>61</v>
      </c>
      <c r="B133" t="s">
        <v>7</v>
      </c>
      <c r="C133">
        <v>22.04</v>
      </c>
      <c r="D133">
        <v>0</v>
      </c>
      <c r="E133" t="s">
        <v>11</v>
      </c>
      <c r="F133" t="s">
        <v>14</v>
      </c>
      <c r="G133">
        <v>13616.3586</v>
      </c>
      <c r="H133" t="str">
        <f t="shared" si="6"/>
        <v>60+</v>
      </c>
      <c r="I133" t="str">
        <f t="shared" si="7"/>
        <v>Normal</v>
      </c>
      <c r="J133" t="str">
        <f t="shared" si="8"/>
        <v>No</v>
      </c>
    </row>
    <row r="134" spans="1:10" x14ac:dyDescent="0.25">
      <c r="A134">
        <v>53</v>
      </c>
      <c r="B134" t="s">
        <v>7</v>
      </c>
      <c r="C134">
        <v>35.9</v>
      </c>
      <c r="D134">
        <v>2</v>
      </c>
      <c r="E134" t="s">
        <v>11</v>
      </c>
      <c r="F134" t="s">
        <v>9</v>
      </c>
      <c r="G134">
        <v>11163.567999999999</v>
      </c>
      <c r="H134" t="str">
        <f t="shared" si="6"/>
        <v>50-59</v>
      </c>
      <c r="I134" t="str">
        <f t="shared" si="7"/>
        <v>Obese</v>
      </c>
      <c r="J134" t="str">
        <f t="shared" si="8"/>
        <v>No</v>
      </c>
    </row>
    <row r="135" spans="1:10" x14ac:dyDescent="0.25">
      <c r="A135">
        <v>19</v>
      </c>
      <c r="B135" t="s">
        <v>10</v>
      </c>
      <c r="C135">
        <v>25.555</v>
      </c>
      <c r="D135">
        <v>0</v>
      </c>
      <c r="E135" t="s">
        <v>11</v>
      </c>
      <c r="F135" t="s">
        <v>13</v>
      </c>
      <c r="G135">
        <v>1632.5644500000001</v>
      </c>
      <c r="H135" t="str">
        <f t="shared" si="6"/>
        <v>18-29</v>
      </c>
      <c r="I135" t="str">
        <f t="shared" si="7"/>
        <v>Overweight</v>
      </c>
      <c r="J135" t="str">
        <f t="shared" si="8"/>
        <v>No</v>
      </c>
    </row>
    <row r="136" spans="1:10" x14ac:dyDescent="0.25">
      <c r="A136">
        <v>20</v>
      </c>
      <c r="B136" t="s">
        <v>7</v>
      </c>
      <c r="C136">
        <v>28.785</v>
      </c>
      <c r="D136">
        <v>0</v>
      </c>
      <c r="E136" t="s">
        <v>11</v>
      </c>
      <c r="F136" t="s">
        <v>14</v>
      </c>
      <c r="G136">
        <v>2457.2111500000001</v>
      </c>
      <c r="H136" t="str">
        <f t="shared" si="6"/>
        <v>18-29</v>
      </c>
      <c r="I136" t="str">
        <f t="shared" si="7"/>
        <v>Overweight</v>
      </c>
      <c r="J136" t="str">
        <f t="shared" si="8"/>
        <v>No</v>
      </c>
    </row>
    <row r="137" spans="1:10" x14ac:dyDescent="0.25">
      <c r="A137">
        <v>22</v>
      </c>
      <c r="B137" t="s">
        <v>7</v>
      </c>
      <c r="C137">
        <v>28.05</v>
      </c>
      <c r="D137">
        <v>0</v>
      </c>
      <c r="E137" t="s">
        <v>11</v>
      </c>
      <c r="F137" t="s">
        <v>12</v>
      </c>
      <c r="G137">
        <v>2155.6815000000001</v>
      </c>
      <c r="H137" t="str">
        <f t="shared" si="6"/>
        <v>18-29</v>
      </c>
      <c r="I137" t="str">
        <f t="shared" si="7"/>
        <v>Overweight</v>
      </c>
      <c r="J137" t="str">
        <f t="shared" si="8"/>
        <v>No</v>
      </c>
    </row>
    <row r="138" spans="1:10" x14ac:dyDescent="0.25">
      <c r="A138">
        <v>19</v>
      </c>
      <c r="B138" t="s">
        <v>10</v>
      </c>
      <c r="C138">
        <v>34.1</v>
      </c>
      <c r="D138">
        <v>0</v>
      </c>
      <c r="E138" t="s">
        <v>11</v>
      </c>
      <c r="F138" t="s">
        <v>9</v>
      </c>
      <c r="G138">
        <v>1261.442</v>
      </c>
      <c r="H138" t="str">
        <f t="shared" si="6"/>
        <v>18-29</v>
      </c>
      <c r="I138" t="str">
        <f t="shared" si="7"/>
        <v>Obese</v>
      </c>
      <c r="J138" t="str">
        <f t="shared" si="8"/>
        <v>No</v>
      </c>
    </row>
    <row r="139" spans="1:10" x14ac:dyDescent="0.25">
      <c r="A139">
        <v>22</v>
      </c>
      <c r="B139" t="s">
        <v>10</v>
      </c>
      <c r="C139">
        <v>25.175000000000001</v>
      </c>
      <c r="D139">
        <v>0</v>
      </c>
      <c r="E139" t="s">
        <v>11</v>
      </c>
      <c r="F139" t="s">
        <v>13</v>
      </c>
      <c r="G139">
        <v>2045.68525</v>
      </c>
      <c r="H139" t="str">
        <f t="shared" si="6"/>
        <v>18-29</v>
      </c>
      <c r="I139" t="str">
        <f t="shared" si="7"/>
        <v>Overweight</v>
      </c>
      <c r="J139" t="str">
        <f t="shared" si="8"/>
        <v>No</v>
      </c>
    </row>
    <row r="140" spans="1:10" x14ac:dyDescent="0.25">
      <c r="A140">
        <v>54</v>
      </c>
      <c r="B140" t="s">
        <v>7</v>
      </c>
      <c r="C140">
        <v>31.9</v>
      </c>
      <c r="D140">
        <v>3</v>
      </c>
      <c r="E140" t="s">
        <v>11</v>
      </c>
      <c r="F140" t="s">
        <v>12</v>
      </c>
      <c r="G140">
        <v>27322.73386</v>
      </c>
      <c r="H140" t="str">
        <f t="shared" si="6"/>
        <v>50-59</v>
      </c>
      <c r="I140" t="str">
        <f t="shared" si="7"/>
        <v>Obese</v>
      </c>
      <c r="J140" t="str">
        <f t="shared" si="8"/>
        <v>Yes</v>
      </c>
    </row>
    <row r="141" spans="1:10" x14ac:dyDescent="0.25">
      <c r="A141">
        <v>22</v>
      </c>
      <c r="B141" t="s">
        <v>7</v>
      </c>
      <c r="C141">
        <v>36</v>
      </c>
      <c r="D141">
        <v>0</v>
      </c>
      <c r="E141" t="s">
        <v>11</v>
      </c>
      <c r="F141" t="s">
        <v>9</v>
      </c>
      <c r="G141">
        <v>2166.732</v>
      </c>
      <c r="H141" t="str">
        <f t="shared" si="6"/>
        <v>18-29</v>
      </c>
      <c r="I141" t="str">
        <f t="shared" si="7"/>
        <v>Obese</v>
      </c>
      <c r="J141" t="str">
        <f t="shared" si="8"/>
        <v>No</v>
      </c>
    </row>
    <row r="142" spans="1:10" x14ac:dyDescent="0.25">
      <c r="A142">
        <v>34</v>
      </c>
      <c r="B142" t="s">
        <v>10</v>
      </c>
      <c r="C142">
        <v>22.42</v>
      </c>
      <c r="D142">
        <v>2</v>
      </c>
      <c r="E142" t="s">
        <v>11</v>
      </c>
      <c r="F142" t="s">
        <v>14</v>
      </c>
      <c r="G142">
        <v>27375.904780000001</v>
      </c>
      <c r="H142" t="str">
        <f t="shared" si="6"/>
        <v>30-39</v>
      </c>
      <c r="I142" t="str">
        <f t="shared" si="7"/>
        <v>Normal</v>
      </c>
      <c r="J142" t="str">
        <f t="shared" si="8"/>
        <v>Yes</v>
      </c>
    </row>
    <row r="143" spans="1:10" x14ac:dyDescent="0.25">
      <c r="A143">
        <v>26</v>
      </c>
      <c r="B143" t="s">
        <v>10</v>
      </c>
      <c r="C143">
        <v>32.49</v>
      </c>
      <c r="D143">
        <v>1</v>
      </c>
      <c r="E143" t="s">
        <v>11</v>
      </c>
      <c r="F143" t="s">
        <v>14</v>
      </c>
      <c r="G143">
        <v>3490.5491000000002</v>
      </c>
      <c r="H143" t="str">
        <f t="shared" si="6"/>
        <v>18-29</v>
      </c>
      <c r="I143" t="str">
        <f t="shared" si="7"/>
        <v>Obese</v>
      </c>
      <c r="J143" t="str">
        <f t="shared" si="8"/>
        <v>No</v>
      </c>
    </row>
    <row r="144" spans="1:10" x14ac:dyDescent="0.25">
      <c r="A144">
        <v>34</v>
      </c>
      <c r="B144" t="s">
        <v>10</v>
      </c>
      <c r="C144">
        <v>25.3</v>
      </c>
      <c r="D144">
        <v>2</v>
      </c>
      <c r="E144" t="s">
        <v>8</v>
      </c>
      <c r="F144" t="s">
        <v>12</v>
      </c>
      <c r="G144">
        <v>18972.494999999999</v>
      </c>
      <c r="H144" t="str">
        <f t="shared" si="6"/>
        <v>30-39</v>
      </c>
      <c r="I144" t="str">
        <f t="shared" si="7"/>
        <v>Overweight</v>
      </c>
      <c r="J144" t="str">
        <f t="shared" si="8"/>
        <v>No</v>
      </c>
    </row>
    <row r="145" spans="1:10" x14ac:dyDescent="0.25">
      <c r="A145">
        <v>29</v>
      </c>
      <c r="B145" t="s">
        <v>10</v>
      </c>
      <c r="C145">
        <v>29.734999999999999</v>
      </c>
      <c r="D145">
        <v>2</v>
      </c>
      <c r="E145" t="s">
        <v>11</v>
      </c>
      <c r="F145" t="s">
        <v>13</v>
      </c>
      <c r="G145">
        <v>18157.876</v>
      </c>
      <c r="H145" t="str">
        <f t="shared" si="6"/>
        <v>18-29</v>
      </c>
      <c r="I145" t="str">
        <f t="shared" si="7"/>
        <v>Overweight</v>
      </c>
      <c r="J145" t="str">
        <f t="shared" si="8"/>
        <v>No</v>
      </c>
    </row>
    <row r="146" spans="1:10" x14ac:dyDescent="0.25">
      <c r="A146">
        <v>30</v>
      </c>
      <c r="B146" t="s">
        <v>10</v>
      </c>
      <c r="C146">
        <v>28.69</v>
      </c>
      <c r="D146">
        <v>3</v>
      </c>
      <c r="E146" t="s">
        <v>8</v>
      </c>
      <c r="F146" t="s">
        <v>13</v>
      </c>
      <c r="G146">
        <v>20745.989099999999</v>
      </c>
      <c r="H146" t="str">
        <f t="shared" si="6"/>
        <v>30-39</v>
      </c>
      <c r="I146" t="str">
        <f t="shared" si="7"/>
        <v>Overweight</v>
      </c>
      <c r="J146" t="str">
        <f t="shared" si="8"/>
        <v>Yes</v>
      </c>
    </row>
    <row r="147" spans="1:10" x14ac:dyDescent="0.25">
      <c r="A147">
        <v>29</v>
      </c>
      <c r="B147" t="s">
        <v>7</v>
      </c>
      <c r="C147">
        <v>38.83</v>
      </c>
      <c r="D147">
        <v>3</v>
      </c>
      <c r="E147" t="s">
        <v>11</v>
      </c>
      <c r="F147" t="s">
        <v>12</v>
      </c>
      <c r="G147">
        <v>5138.2566999999999</v>
      </c>
      <c r="H147" t="str">
        <f t="shared" si="6"/>
        <v>18-29</v>
      </c>
      <c r="I147" t="str">
        <f t="shared" si="7"/>
        <v>Obese</v>
      </c>
      <c r="J147" t="str">
        <f t="shared" si="8"/>
        <v>No</v>
      </c>
    </row>
    <row r="148" spans="1:10" x14ac:dyDescent="0.25">
      <c r="A148">
        <v>46</v>
      </c>
      <c r="B148" t="s">
        <v>10</v>
      </c>
      <c r="C148">
        <v>30.495000000000001</v>
      </c>
      <c r="D148">
        <v>3</v>
      </c>
      <c r="E148" t="s">
        <v>8</v>
      </c>
      <c r="F148" t="s">
        <v>13</v>
      </c>
      <c r="G148">
        <v>40720.551050000002</v>
      </c>
      <c r="H148" t="str">
        <f t="shared" si="6"/>
        <v>40-49</v>
      </c>
      <c r="I148" t="str">
        <f t="shared" si="7"/>
        <v>Obese</v>
      </c>
      <c r="J148" t="str">
        <f t="shared" si="8"/>
        <v>Yes</v>
      </c>
    </row>
    <row r="149" spans="1:10" x14ac:dyDescent="0.25">
      <c r="A149">
        <v>51</v>
      </c>
      <c r="B149" t="s">
        <v>7</v>
      </c>
      <c r="C149">
        <v>37.729999999999997</v>
      </c>
      <c r="D149">
        <v>1</v>
      </c>
      <c r="E149" t="s">
        <v>11</v>
      </c>
      <c r="F149" t="s">
        <v>12</v>
      </c>
      <c r="G149">
        <v>9877.6077000000005</v>
      </c>
      <c r="H149" t="str">
        <f t="shared" si="6"/>
        <v>50-59</v>
      </c>
      <c r="I149" t="str">
        <f t="shared" si="7"/>
        <v>Obese</v>
      </c>
      <c r="J149" t="str">
        <f t="shared" si="8"/>
        <v>No</v>
      </c>
    </row>
    <row r="150" spans="1:10" x14ac:dyDescent="0.25">
      <c r="A150">
        <v>53</v>
      </c>
      <c r="B150" t="s">
        <v>7</v>
      </c>
      <c r="C150">
        <v>37.43</v>
      </c>
      <c r="D150">
        <v>1</v>
      </c>
      <c r="E150" t="s">
        <v>11</v>
      </c>
      <c r="F150" t="s">
        <v>13</v>
      </c>
      <c r="G150">
        <v>10959.6947</v>
      </c>
      <c r="H150" t="str">
        <f t="shared" si="6"/>
        <v>50-59</v>
      </c>
      <c r="I150" t="str">
        <f t="shared" si="7"/>
        <v>Obese</v>
      </c>
      <c r="J150" t="str">
        <f t="shared" si="8"/>
        <v>No</v>
      </c>
    </row>
    <row r="151" spans="1:10" x14ac:dyDescent="0.25">
      <c r="A151">
        <v>19</v>
      </c>
      <c r="B151" t="s">
        <v>10</v>
      </c>
      <c r="C151">
        <v>28.4</v>
      </c>
      <c r="D151">
        <v>1</v>
      </c>
      <c r="E151" t="s">
        <v>11</v>
      </c>
      <c r="F151" t="s">
        <v>9</v>
      </c>
      <c r="G151">
        <v>1842.519</v>
      </c>
      <c r="H151" t="str">
        <f t="shared" si="6"/>
        <v>18-29</v>
      </c>
      <c r="I151" t="str">
        <f t="shared" si="7"/>
        <v>Overweight</v>
      </c>
      <c r="J151" t="str">
        <f t="shared" si="8"/>
        <v>No</v>
      </c>
    </row>
    <row r="152" spans="1:10" x14ac:dyDescent="0.25">
      <c r="A152">
        <v>35</v>
      </c>
      <c r="B152" t="s">
        <v>10</v>
      </c>
      <c r="C152">
        <v>24.13</v>
      </c>
      <c r="D152">
        <v>1</v>
      </c>
      <c r="E152" t="s">
        <v>11</v>
      </c>
      <c r="F152" t="s">
        <v>13</v>
      </c>
      <c r="G152">
        <v>5125.2156999999997</v>
      </c>
      <c r="H152" t="str">
        <f t="shared" si="6"/>
        <v>30-39</v>
      </c>
      <c r="I152" t="str">
        <f t="shared" si="7"/>
        <v>Normal</v>
      </c>
      <c r="J152" t="str">
        <f t="shared" si="8"/>
        <v>No</v>
      </c>
    </row>
    <row r="153" spans="1:10" x14ac:dyDescent="0.25">
      <c r="A153">
        <v>48</v>
      </c>
      <c r="B153" t="s">
        <v>10</v>
      </c>
      <c r="C153">
        <v>29.7</v>
      </c>
      <c r="D153">
        <v>0</v>
      </c>
      <c r="E153" t="s">
        <v>11</v>
      </c>
      <c r="F153" t="s">
        <v>12</v>
      </c>
      <c r="G153">
        <v>7789.6350000000002</v>
      </c>
      <c r="H153" t="str">
        <f t="shared" si="6"/>
        <v>40-49</v>
      </c>
      <c r="I153" t="str">
        <f t="shared" si="7"/>
        <v>Overweight</v>
      </c>
      <c r="J153" t="str">
        <f t="shared" si="8"/>
        <v>No</v>
      </c>
    </row>
    <row r="154" spans="1:10" x14ac:dyDescent="0.25">
      <c r="A154">
        <v>32</v>
      </c>
      <c r="B154" t="s">
        <v>7</v>
      </c>
      <c r="C154">
        <v>37.145000000000003</v>
      </c>
      <c r="D154">
        <v>3</v>
      </c>
      <c r="E154" t="s">
        <v>11</v>
      </c>
      <c r="F154" t="s">
        <v>14</v>
      </c>
      <c r="G154">
        <v>6334.3435499999996</v>
      </c>
      <c r="H154" t="str">
        <f t="shared" si="6"/>
        <v>30-39</v>
      </c>
      <c r="I154" t="str">
        <f t="shared" si="7"/>
        <v>Obese</v>
      </c>
      <c r="J154" t="str">
        <f t="shared" si="8"/>
        <v>No</v>
      </c>
    </row>
    <row r="155" spans="1:10" x14ac:dyDescent="0.25">
      <c r="A155">
        <v>42</v>
      </c>
      <c r="B155" t="s">
        <v>7</v>
      </c>
      <c r="C155">
        <v>23.37</v>
      </c>
      <c r="D155">
        <v>0</v>
      </c>
      <c r="E155" t="s">
        <v>8</v>
      </c>
      <c r="F155" t="s">
        <v>14</v>
      </c>
      <c r="G155">
        <v>19964.746299999999</v>
      </c>
      <c r="H155" t="str">
        <f t="shared" si="6"/>
        <v>40-49</v>
      </c>
      <c r="I155" t="str">
        <f t="shared" si="7"/>
        <v>Normal</v>
      </c>
      <c r="J155" t="str">
        <f t="shared" si="8"/>
        <v>No</v>
      </c>
    </row>
    <row r="156" spans="1:10" x14ac:dyDescent="0.25">
      <c r="A156">
        <v>40</v>
      </c>
      <c r="B156" t="s">
        <v>7</v>
      </c>
      <c r="C156">
        <v>25.46</v>
      </c>
      <c r="D156">
        <v>1</v>
      </c>
      <c r="E156" t="s">
        <v>11</v>
      </c>
      <c r="F156" t="s">
        <v>14</v>
      </c>
      <c r="G156">
        <v>7077.1894000000002</v>
      </c>
      <c r="H156" t="str">
        <f t="shared" si="6"/>
        <v>40-49</v>
      </c>
      <c r="I156" t="str">
        <f t="shared" si="7"/>
        <v>Overweight</v>
      </c>
      <c r="J156" t="str">
        <f t="shared" si="8"/>
        <v>No</v>
      </c>
    </row>
    <row r="157" spans="1:10" x14ac:dyDescent="0.25">
      <c r="A157">
        <v>44</v>
      </c>
      <c r="B157" t="s">
        <v>10</v>
      </c>
      <c r="C157">
        <v>39.520000000000003</v>
      </c>
      <c r="D157">
        <v>0</v>
      </c>
      <c r="E157" t="s">
        <v>11</v>
      </c>
      <c r="F157" t="s">
        <v>13</v>
      </c>
      <c r="G157">
        <v>6948.7007999999996</v>
      </c>
      <c r="H157" t="str">
        <f t="shared" si="6"/>
        <v>40-49</v>
      </c>
      <c r="I157" t="str">
        <f t="shared" si="7"/>
        <v>Obese</v>
      </c>
      <c r="J157" t="str">
        <f t="shared" si="8"/>
        <v>No</v>
      </c>
    </row>
    <row r="158" spans="1:10" x14ac:dyDescent="0.25">
      <c r="A158">
        <v>48</v>
      </c>
      <c r="B158" t="s">
        <v>10</v>
      </c>
      <c r="C158">
        <v>24.42</v>
      </c>
      <c r="D158">
        <v>0</v>
      </c>
      <c r="E158" t="s">
        <v>8</v>
      </c>
      <c r="F158" t="s">
        <v>12</v>
      </c>
      <c r="G158">
        <v>21223.675800000001</v>
      </c>
      <c r="H158" t="str">
        <f t="shared" si="6"/>
        <v>40-49</v>
      </c>
      <c r="I158" t="str">
        <f t="shared" si="7"/>
        <v>Normal</v>
      </c>
      <c r="J158" t="str">
        <f t="shared" si="8"/>
        <v>Yes</v>
      </c>
    </row>
    <row r="159" spans="1:10" x14ac:dyDescent="0.25">
      <c r="A159">
        <v>18</v>
      </c>
      <c r="B159" t="s">
        <v>10</v>
      </c>
      <c r="C159">
        <v>25.175000000000001</v>
      </c>
      <c r="D159">
        <v>0</v>
      </c>
      <c r="E159" t="s">
        <v>8</v>
      </c>
      <c r="F159" t="s">
        <v>14</v>
      </c>
      <c r="G159">
        <v>15518.180249999999</v>
      </c>
      <c r="H159" t="str">
        <f t="shared" si="6"/>
        <v>18-29</v>
      </c>
      <c r="I159" t="str">
        <f t="shared" si="7"/>
        <v>Overweight</v>
      </c>
      <c r="J159" t="str">
        <f t="shared" si="8"/>
        <v>No</v>
      </c>
    </row>
    <row r="160" spans="1:10" x14ac:dyDescent="0.25">
      <c r="A160">
        <v>30</v>
      </c>
      <c r="B160" t="s">
        <v>10</v>
      </c>
      <c r="C160">
        <v>35.53</v>
      </c>
      <c r="D160">
        <v>0</v>
      </c>
      <c r="E160" t="s">
        <v>8</v>
      </c>
      <c r="F160" t="s">
        <v>12</v>
      </c>
      <c r="G160">
        <v>36950.256699999998</v>
      </c>
      <c r="H160" t="str">
        <f t="shared" si="6"/>
        <v>30-39</v>
      </c>
      <c r="I160" t="str">
        <f t="shared" si="7"/>
        <v>Obese</v>
      </c>
      <c r="J160" t="str">
        <f t="shared" si="8"/>
        <v>Yes</v>
      </c>
    </row>
    <row r="161" spans="1:10" x14ac:dyDescent="0.25">
      <c r="A161">
        <v>50</v>
      </c>
      <c r="B161" t="s">
        <v>7</v>
      </c>
      <c r="C161">
        <v>27.83</v>
      </c>
      <c r="D161">
        <v>3</v>
      </c>
      <c r="E161" t="s">
        <v>11</v>
      </c>
      <c r="F161" t="s">
        <v>12</v>
      </c>
      <c r="G161">
        <v>19749.383379999999</v>
      </c>
      <c r="H161" t="str">
        <f t="shared" si="6"/>
        <v>50-59</v>
      </c>
      <c r="I161" t="str">
        <f t="shared" si="7"/>
        <v>Overweight</v>
      </c>
      <c r="J161" t="str">
        <f t="shared" si="8"/>
        <v>No</v>
      </c>
    </row>
    <row r="162" spans="1:10" x14ac:dyDescent="0.25">
      <c r="A162">
        <v>42</v>
      </c>
      <c r="B162" t="s">
        <v>7</v>
      </c>
      <c r="C162">
        <v>26.6</v>
      </c>
      <c r="D162">
        <v>0</v>
      </c>
      <c r="E162" t="s">
        <v>8</v>
      </c>
      <c r="F162" t="s">
        <v>13</v>
      </c>
      <c r="G162">
        <v>21348.705999999998</v>
      </c>
      <c r="H162" t="str">
        <f t="shared" si="6"/>
        <v>40-49</v>
      </c>
      <c r="I162" t="str">
        <f t="shared" si="7"/>
        <v>Overweight</v>
      </c>
      <c r="J162" t="str">
        <f t="shared" si="8"/>
        <v>Yes</v>
      </c>
    </row>
    <row r="163" spans="1:10" x14ac:dyDescent="0.25">
      <c r="A163">
        <v>18</v>
      </c>
      <c r="B163" t="s">
        <v>7</v>
      </c>
      <c r="C163">
        <v>36.85</v>
      </c>
      <c r="D163">
        <v>0</v>
      </c>
      <c r="E163" t="s">
        <v>8</v>
      </c>
      <c r="F163" t="s">
        <v>12</v>
      </c>
      <c r="G163">
        <v>36149.483500000002</v>
      </c>
      <c r="H163" t="str">
        <f t="shared" si="6"/>
        <v>18-29</v>
      </c>
      <c r="I163" t="str">
        <f t="shared" si="7"/>
        <v>Obese</v>
      </c>
      <c r="J163" t="str">
        <f t="shared" si="8"/>
        <v>Yes</v>
      </c>
    </row>
    <row r="164" spans="1:10" x14ac:dyDescent="0.25">
      <c r="A164">
        <v>54</v>
      </c>
      <c r="B164" t="s">
        <v>10</v>
      </c>
      <c r="C164">
        <v>39.6</v>
      </c>
      <c r="D164">
        <v>1</v>
      </c>
      <c r="E164" t="s">
        <v>11</v>
      </c>
      <c r="F164" t="s">
        <v>9</v>
      </c>
      <c r="G164">
        <v>10450.552</v>
      </c>
      <c r="H164" t="str">
        <f t="shared" si="6"/>
        <v>50-59</v>
      </c>
      <c r="I164" t="str">
        <f t="shared" si="7"/>
        <v>Obese</v>
      </c>
      <c r="J164" t="str">
        <f t="shared" si="8"/>
        <v>No</v>
      </c>
    </row>
    <row r="165" spans="1:10" x14ac:dyDescent="0.25">
      <c r="A165">
        <v>32</v>
      </c>
      <c r="B165" t="s">
        <v>7</v>
      </c>
      <c r="C165">
        <v>29.8</v>
      </c>
      <c r="D165">
        <v>2</v>
      </c>
      <c r="E165" t="s">
        <v>11</v>
      </c>
      <c r="F165" t="s">
        <v>9</v>
      </c>
      <c r="G165">
        <v>5152.134</v>
      </c>
      <c r="H165" t="str">
        <f t="shared" si="6"/>
        <v>30-39</v>
      </c>
      <c r="I165" t="str">
        <f t="shared" si="7"/>
        <v>Overweight</v>
      </c>
      <c r="J165" t="str">
        <f t="shared" si="8"/>
        <v>No</v>
      </c>
    </row>
    <row r="166" spans="1:10" x14ac:dyDescent="0.25">
      <c r="A166">
        <v>37</v>
      </c>
      <c r="B166" t="s">
        <v>10</v>
      </c>
      <c r="C166">
        <v>29.64</v>
      </c>
      <c r="D166">
        <v>0</v>
      </c>
      <c r="E166" t="s">
        <v>11</v>
      </c>
      <c r="F166" t="s">
        <v>13</v>
      </c>
      <c r="G166">
        <v>5028.1466</v>
      </c>
      <c r="H166" t="str">
        <f t="shared" si="6"/>
        <v>30-39</v>
      </c>
      <c r="I166" t="str">
        <f t="shared" si="7"/>
        <v>Overweight</v>
      </c>
      <c r="J166" t="str">
        <f t="shared" si="8"/>
        <v>No</v>
      </c>
    </row>
    <row r="167" spans="1:10" x14ac:dyDescent="0.25">
      <c r="A167">
        <v>47</v>
      </c>
      <c r="B167" t="s">
        <v>10</v>
      </c>
      <c r="C167">
        <v>28.215</v>
      </c>
      <c r="D167">
        <v>4</v>
      </c>
      <c r="E167" t="s">
        <v>11</v>
      </c>
      <c r="F167" t="s">
        <v>14</v>
      </c>
      <c r="G167">
        <v>10407.085849999999</v>
      </c>
      <c r="H167" t="str">
        <f t="shared" si="6"/>
        <v>40-49</v>
      </c>
      <c r="I167" t="str">
        <f t="shared" si="7"/>
        <v>Overweight</v>
      </c>
      <c r="J167" t="str">
        <f t="shared" si="8"/>
        <v>No</v>
      </c>
    </row>
    <row r="168" spans="1:10" x14ac:dyDescent="0.25">
      <c r="A168">
        <v>20</v>
      </c>
      <c r="B168" t="s">
        <v>7</v>
      </c>
      <c r="C168">
        <v>37</v>
      </c>
      <c r="D168">
        <v>5</v>
      </c>
      <c r="E168" t="s">
        <v>11</v>
      </c>
      <c r="F168" t="s">
        <v>9</v>
      </c>
      <c r="G168">
        <v>4830.63</v>
      </c>
      <c r="H168" t="str">
        <f t="shared" si="6"/>
        <v>18-29</v>
      </c>
      <c r="I168" t="str">
        <f t="shared" si="7"/>
        <v>Obese</v>
      </c>
      <c r="J168" t="str">
        <f t="shared" si="8"/>
        <v>No</v>
      </c>
    </row>
    <row r="169" spans="1:10" x14ac:dyDescent="0.25">
      <c r="A169">
        <v>32</v>
      </c>
      <c r="B169" t="s">
        <v>7</v>
      </c>
      <c r="C169">
        <v>33.155000000000001</v>
      </c>
      <c r="D169">
        <v>3</v>
      </c>
      <c r="E169" t="s">
        <v>11</v>
      </c>
      <c r="F169" t="s">
        <v>13</v>
      </c>
      <c r="G169">
        <v>6128.79745</v>
      </c>
      <c r="H169" t="str">
        <f t="shared" si="6"/>
        <v>30-39</v>
      </c>
      <c r="I169" t="str">
        <f t="shared" si="7"/>
        <v>Obese</v>
      </c>
      <c r="J169" t="str">
        <f t="shared" si="8"/>
        <v>No</v>
      </c>
    </row>
    <row r="170" spans="1:10" x14ac:dyDescent="0.25">
      <c r="A170">
        <v>19</v>
      </c>
      <c r="B170" t="s">
        <v>7</v>
      </c>
      <c r="C170">
        <v>31.824999999999999</v>
      </c>
      <c r="D170">
        <v>1</v>
      </c>
      <c r="E170" t="s">
        <v>11</v>
      </c>
      <c r="F170" t="s">
        <v>13</v>
      </c>
      <c r="G170">
        <v>2719.2797500000001</v>
      </c>
      <c r="H170" t="str">
        <f t="shared" si="6"/>
        <v>18-29</v>
      </c>
      <c r="I170" t="str">
        <f t="shared" si="7"/>
        <v>Obese</v>
      </c>
      <c r="J170" t="str">
        <f t="shared" si="8"/>
        <v>No</v>
      </c>
    </row>
    <row r="171" spans="1:10" x14ac:dyDescent="0.25">
      <c r="A171">
        <v>27</v>
      </c>
      <c r="B171" t="s">
        <v>10</v>
      </c>
      <c r="C171">
        <v>18.905000000000001</v>
      </c>
      <c r="D171">
        <v>3</v>
      </c>
      <c r="E171" t="s">
        <v>11</v>
      </c>
      <c r="F171" t="s">
        <v>14</v>
      </c>
      <c r="G171">
        <v>4827.9049500000001</v>
      </c>
      <c r="H171" t="str">
        <f t="shared" si="6"/>
        <v>18-29</v>
      </c>
      <c r="I171" t="str">
        <f t="shared" si="7"/>
        <v>Normal</v>
      </c>
      <c r="J171" t="str">
        <f t="shared" si="8"/>
        <v>No</v>
      </c>
    </row>
    <row r="172" spans="1:10" x14ac:dyDescent="0.25">
      <c r="A172">
        <v>63</v>
      </c>
      <c r="B172" t="s">
        <v>10</v>
      </c>
      <c r="C172">
        <v>41.47</v>
      </c>
      <c r="D172">
        <v>0</v>
      </c>
      <c r="E172" t="s">
        <v>11</v>
      </c>
      <c r="F172" t="s">
        <v>12</v>
      </c>
      <c r="G172">
        <v>13405.390299999999</v>
      </c>
      <c r="H172" t="str">
        <f t="shared" si="6"/>
        <v>60+</v>
      </c>
      <c r="I172" t="str">
        <f t="shared" si="7"/>
        <v>Obese</v>
      </c>
      <c r="J172" t="str">
        <f t="shared" si="8"/>
        <v>No</v>
      </c>
    </row>
    <row r="173" spans="1:10" x14ac:dyDescent="0.25">
      <c r="A173">
        <v>49</v>
      </c>
      <c r="B173" t="s">
        <v>10</v>
      </c>
      <c r="C173">
        <v>30.3</v>
      </c>
      <c r="D173">
        <v>0</v>
      </c>
      <c r="E173" t="s">
        <v>11</v>
      </c>
      <c r="F173" t="s">
        <v>9</v>
      </c>
      <c r="G173">
        <v>8116.68</v>
      </c>
      <c r="H173" t="str">
        <f t="shared" si="6"/>
        <v>40-49</v>
      </c>
      <c r="I173" t="str">
        <f t="shared" si="7"/>
        <v>Obese</v>
      </c>
      <c r="J173" t="str">
        <f t="shared" si="8"/>
        <v>No</v>
      </c>
    </row>
    <row r="174" spans="1:10" x14ac:dyDescent="0.25">
      <c r="A174">
        <v>18</v>
      </c>
      <c r="B174" t="s">
        <v>10</v>
      </c>
      <c r="C174">
        <v>15.96</v>
      </c>
      <c r="D174">
        <v>0</v>
      </c>
      <c r="E174" t="s">
        <v>11</v>
      </c>
      <c r="F174" t="s">
        <v>14</v>
      </c>
      <c r="G174">
        <v>1694.7963999999999</v>
      </c>
      <c r="H174" t="str">
        <f t="shared" si="6"/>
        <v>18-29</v>
      </c>
      <c r="I174" t="str">
        <f t="shared" si="7"/>
        <v>Underweight</v>
      </c>
      <c r="J174" t="str">
        <f t="shared" si="8"/>
        <v>No</v>
      </c>
    </row>
    <row r="175" spans="1:10" x14ac:dyDescent="0.25">
      <c r="A175">
        <v>35</v>
      </c>
      <c r="B175" t="s">
        <v>7</v>
      </c>
      <c r="C175">
        <v>34.799999999999997</v>
      </c>
      <c r="D175">
        <v>1</v>
      </c>
      <c r="E175" t="s">
        <v>11</v>
      </c>
      <c r="F175" t="s">
        <v>9</v>
      </c>
      <c r="G175">
        <v>5246.0469999999996</v>
      </c>
      <c r="H175" t="str">
        <f t="shared" si="6"/>
        <v>30-39</v>
      </c>
      <c r="I175" t="str">
        <f t="shared" si="7"/>
        <v>Obese</v>
      </c>
      <c r="J175" t="str">
        <f t="shared" si="8"/>
        <v>No</v>
      </c>
    </row>
    <row r="176" spans="1:10" x14ac:dyDescent="0.25">
      <c r="A176">
        <v>24</v>
      </c>
      <c r="B176" t="s">
        <v>7</v>
      </c>
      <c r="C176">
        <v>33.344999999999999</v>
      </c>
      <c r="D176">
        <v>0</v>
      </c>
      <c r="E176" t="s">
        <v>11</v>
      </c>
      <c r="F176" t="s">
        <v>13</v>
      </c>
      <c r="G176">
        <v>2855.4375500000001</v>
      </c>
      <c r="H176" t="str">
        <f t="shared" si="6"/>
        <v>18-29</v>
      </c>
      <c r="I176" t="str">
        <f t="shared" si="7"/>
        <v>Obese</v>
      </c>
      <c r="J176" t="str">
        <f t="shared" si="8"/>
        <v>No</v>
      </c>
    </row>
    <row r="177" spans="1:10" x14ac:dyDescent="0.25">
      <c r="A177">
        <v>63</v>
      </c>
      <c r="B177" t="s">
        <v>7</v>
      </c>
      <c r="C177">
        <v>37.700000000000003</v>
      </c>
      <c r="D177">
        <v>0</v>
      </c>
      <c r="E177" t="s">
        <v>8</v>
      </c>
      <c r="F177" t="s">
        <v>9</v>
      </c>
      <c r="G177">
        <v>48824.45</v>
      </c>
      <c r="H177" t="str">
        <f t="shared" si="6"/>
        <v>60+</v>
      </c>
      <c r="I177" t="str">
        <f t="shared" si="7"/>
        <v>Obese</v>
      </c>
      <c r="J177" t="str">
        <f t="shared" si="8"/>
        <v>Yes</v>
      </c>
    </row>
    <row r="178" spans="1:10" x14ac:dyDescent="0.25">
      <c r="A178">
        <v>38</v>
      </c>
      <c r="B178" t="s">
        <v>10</v>
      </c>
      <c r="C178">
        <v>27.835000000000001</v>
      </c>
      <c r="D178">
        <v>2</v>
      </c>
      <c r="E178" t="s">
        <v>11</v>
      </c>
      <c r="F178" t="s">
        <v>13</v>
      </c>
      <c r="G178">
        <v>6455.86265</v>
      </c>
      <c r="H178" t="str">
        <f t="shared" si="6"/>
        <v>30-39</v>
      </c>
      <c r="I178" t="str">
        <f t="shared" si="7"/>
        <v>Overweight</v>
      </c>
      <c r="J178" t="str">
        <f t="shared" si="8"/>
        <v>No</v>
      </c>
    </row>
    <row r="179" spans="1:10" x14ac:dyDescent="0.25">
      <c r="A179">
        <v>54</v>
      </c>
      <c r="B179" t="s">
        <v>10</v>
      </c>
      <c r="C179">
        <v>29.2</v>
      </c>
      <c r="D179">
        <v>1</v>
      </c>
      <c r="E179" t="s">
        <v>11</v>
      </c>
      <c r="F179" t="s">
        <v>9</v>
      </c>
      <c r="G179">
        <v>10436.096</v>
      </c>
      <c r="H179" t="str">
        <f t="shared" si="6"/>
        <v>50-59</v>
      </c>
      <c r="I179" t="str">
        <f t="shared" si="7"/>
        <v>Overweight</v>
      </c>
      <c r="J179" t="str">
        <f t="shared" si="8"/>
        <v>No</v>
      </c>
    </row>
    <row r="180" spans="1:10" x14ac:dyDescent="0.25">
      <c r="A180">
        <v>46</v>
      </c>
      <c r="B180" t="s">
        <v>7</v>
      </c>
      <c r="C180">
        <v>28.9</v>
      </c>
      <c r="D180">
        <v>2</v>
      </c>
      <c r="E180" t="s">
        <v>11</v>
      </c>
      <c r="F180" t="s">
        <v>9</v>
      </c>
      <c r="G180">
        <v>8823.2790000000005</v>
      </c>
      <c r="H180" t="str">
        <f t="shared" si="6"/>
        <v>40-49</v>
      </c>
      <c r="I180" t="str">
        <f t="shared" si="7"/>
        <v>Overweight</v>
      </c>
      <c r="J180" t="str">
        <f t="shared" si="8"/>
        <v>No</v>
      </c>
    </row>
    <row r="181" spans="1:10" x14ac:dyDescent="0.25">
      <c r="A181">
        <v>41</v>
      </c>
      <c r="B181" t="s">
        <v>7</v>
      </c>
      <c r="C181">
        <v>33.155000000000001</v>
      </c>
      <c r="D181">
        <v>3</v>
      </c>
      <c r="E181" t="s">
        <v>11</v>
      </c>
      <c r="F181" t="s">
        <v>14</v>
      </c>
      <c r="G181">
        <v>8538.28845</v>
      </c>
      <c r="H181" t="str">
        <f t="shared" si="6"/>
        <v>40-49</v>
      </c>
      <c r="I181" t="str">
        <f t="shared" si="7"/>
        <v>Obese</v>
      </c>
      <c r="J181" t="str">
        <f t="shared" si="8"/>
        <v>No</v>
      </c>
    </row>
    <row r="182" spans="1:10" x14ac:dyDescent="0.25">
      <c r="A182">
        <v>58</v>
      </c>
      <c r="B182" t="s">
        <v>10</v>
      </c>
      <c r="C182">
        <v>28.594999999999999</v>
      </c>
      <c r="D182">
        <v>0</v>
      </c>
      <c r="E182" t="s">
        <v>11</v>
      </c>
      <c r="F182" t="s">
        <v>13</v>
      </c>
      <c r="G182">
        <v>11735.87905</v>
      </c>
      <c r="H182" t="str">
        <f t="shared" si="6"/>
        <v>50-59</v>
      </c>
      <c r="I182" t="str">
        <f t="shared" si="7"/>
        <v>Overweight</v>
      </c>
      <c r="J182" t="str">
        <f t="shared" si="8"/>
        <v>No</v>
      </c>
    </row>
    <row r="183" spans="1:10" x14ac:dyDescent="0.25">
      <c r="A183">
        <v>18</v>
      </c>
      <c r="B183" t="s">
        <v>7</v>
      </c>
      <c r="C183">
        <v>38.28</v>
      </c>
      <c r="D183">
        <v>0</v>
      </c>
      <c r="E183" t="s">
        <v>11</v>
      </c>
      <c r="F183" t="s">
        <v>12</v>
      </c>
      <c r="G183">
        <v>1631.8212000000001</v>
      </c>
      <c r="H183" t="str">
        <f t="shared" si="6"/>
        <v>18-29</v>
      </c>
      <c r="I183" t="str">
        <f t="shared" si="7"/>
        <v>Obese</v>
      </c>
      <c r="J183" t="str">
        <f t="shared" si="8"/>
        <v>No</v>
      </c>
    </row>
    <row r="184" spans="1:10" x14ac:dyDescent="0.25">
      <c r="A184">
        <v>22</v>
      </c>
      <c r="B184" t="s">
        <v>10</v>
      </c>
      <c r="C184">
        <v>19.95</v>
      </c>
      <c r="D184">
        <v>3</v>
      </c>
      <c r="E184" t="s">
        <v>11</v>
      </c>
      <c r="F184" t="s">
        <v>14</v>
      </c>
      <c r="G184">
        <v>4005.4225000000001</v>
      </c>
      <c r="H184" t="str">
        <f t="shared" si="6"/>
        <v>18-29</v>
      </c>
      <c r="I184" t="str">
        <f t="shared" si="7"/>
        <v>Normal</v>
      </c>
      <c r="J184" t="str">
        <f t="shared" si="8"/>
        <v>No</v>
      </c>
    </row>
    <row r="185" spans="1:10" x14ac:dyDescent="0.25">
      <c r="A185">
        <v>44</v>
      </c>
      <c r="B185" t="s">
        <v>7</v>
      </c>
      <c r="C185">
        <v>26.41</v>
      </c>
      <c r="D185">
        <v>0</v>
      </c>
      <c r="E185" t="s">
        <v>11</v>
      </c>
      <c r="F185" t="s">
        <v>13</v>
      </c>
      <c r="G185">
        <v>7419.4778999999999</v>
      </c>
      <c r="H185" t="str">
        <f t="shared" si="6"/>
        <v>40-49</v>
      </c>
      <c r="I185" t="str">
        <f t="shared" si="7"/>
        <v>Overweight</v>
      </c>
      <c r="J185" t="str">
        <f t="shared" si="8"/>
        <v>No</v>
      </c>
    </row>
    <row r="186" spans="1:10" x14ac:dyDescent="0.25">
      <c r="A186">
        <v>44</v>
      </c>
      <c r="B186" t="s">
        <v>10</v>
      </c>
      <c r="C186">
        <v>30.69</v>
      </c>
      <c r="D186">
        <v>2</v>
      </c>
      <c r="E186" t="s">
        <v>11</v>
      </c>
      <c r="F186" t="s">
        <v>12</v>
      </c>
      <c r="G186">
        <v>7731.4270999999999</v>
      </c>
      <c r="H186" t="str">
        <f t="shared" si="6"/>
        <v>40-49</v>
      </c>
      <c r="I186" t="str">
        <f t="shared" si="7"/>
        <v>Obese</v>
      </c>
      <c r="J186" t="str">
        <f t="shared" si="8"/>
        <v>No</v>
      </c>
    </row>
    <row r="187" spans="1:10" x14ac:dyDescent="0.25">
      <c r="A187">
        <v>36</v>
      </c>
      <c r="B187" t="s">
        <v>10</v>
      </c>
      <c r="C187">
        <v>41.895000000000003</v>
      </c>
      <c r="D187">
        <v>3</v>
      </c>
      <c r="E187" t="s">
        <v>8</v>
      </c>
      <c r="F187" t="s">
        <v>14</v>
      </c>
      <c r="G187">
        <v>43753.337050000002</v>
      </c>
      <c r="H187" t="str">
        <f t="shared" si="6"/>
        <v>30-39</v>
      </c>
      <c r="I187" t="str">
        <f t="shared" si="7"/>
        <v>Obese</v>
      </c>
      <c r="J187" t="str">
        <f t="shared" si="8"/>
        <v>Yes</v>
      </c>
    </row>
    <row r="188" spans="1:10" x14ac:dyDescent="0.25">
      <c r="A188">
        <v>26</v>
      </c>
      <c r="B188" t="s">
        <v>7</v>
      </c>
      <c r="C188">
        <v>29.92</v>
      </c>
      <c r="D188">
        <v>2</v>
      </c>
      <c r="E188" t="s">
        <v>11</v>
      </c>
      <c r="F188" t="s">
        <v>12</v>
      </c>
      <c r="G188">
        <v>3981.9767999999999</v>
      </c>
      <c r="H188" t="str">
        <f t="shared" si="6"/>
        <v>18-29</v>
      </c>
      <c r="I188" t="str">
        <f t="shared" si="7"/>
        <v>Overweight</v>
      </c>
      <c r="J188" t="str">
        <f t="shared" si="8"/>
        <v>No</v>
      </c>
    </row>
    <row r="189" spans="1:10" x14ac:dyDescent="0.25">
      <c r="A189">
        <v>30</v>
      </c>
      <c r="B189" t="s">
        <v>7</v>
      </c>
      <c r="C189">
        <v>30.9</v>
      </c>
      <c r="D189">
        <v>3</v>
      </c>
      <c r="E189" t="s">
        <v>11</v>
      </c>
      <c r="F189" t="s">
        <v>9</v>
      </c>
      <c r="G189">
        <v>5325.6509999999998</v>
      </c>
      <c r="H189" t="str">
        <f t="shared" si="6"/>
        <v>30-39</v>
      </c>
      <c r="I189" t="str">
        <f t="shared" si="7"/>
        <v>Obese</v>
      </c>
      <c r="J189" t="str">
        <f t="shared" si="8"/>
        <v>No</v>
      </c>
    </row>
    <row r="190" spans="1:10" x14ac:dyDescent="0.25">
      <c r="A190">
        <v>41</v>
      </c>
      <c r="B190" t="s">
        <v>7</v>
      </c>
      <c r="C190">
        <v>32.200000000000003</v>
      </c>
      <c r="D190">
        <v>1</v>
      </c>
      <c r="E190" t="s">
        <v>11</v>
      </c>
      <c r="F190" t="s">
        <v>9</v>
      </c>
      <c r="G190">
        <v>6775.9610000000002</v>
      </c>
      <c r="H190" t="str">
        <f t="shared" si="6"/>
        <v>40-49</v>
      </c>
      <c r="I190" t="str">
        <f t="shared" si="7"/>
        <v>Obese</v>
      </c>
      <c r="J190" t="str">
        <f t="shared" si="8"/>
        <v>No</v>
      </c>
    </row>
    <row r="191" spans="1:10" x14ac:dyDescent="0.25">
      <c r="A191">
        <v>29</v>
      </c>
      <c r="B191" t="s">
        <v>7</v>
      </c>
      <c r="C191">
        <v>32.11</v>
      </c>
      <c r="D191">
        <v>2</v>
      </c>
      <c r="E191" t="s">
        <v>11</v>
      </c>
      <c r="F191" t="s">
        <v>13</v>
      </c>
      <c r="G191">
        <v>4922.9159</v>
      </c>
      <c r="H191" t="str">
        <f t="shared" si="6"/>
        <v>18-29</v>
      </c>
      <c r="I191" t="str">
        <f t="shared" si="7"/>
        <v>Obese</v>
      </c>
      <c r="J191" t="str">
        <f t="shared" si="8"/>
        <v>No</v>
      </c>
    </row>
    <row r="192" spans="1:10" x14ac:dyDescent="0.25">
      <c r="A192">
        <v>61</v>
      </c>
      <c r="B192" t="s">
        <v>10</v>
      </c>
      <c r="C192">
        <v>31.57</v>
      </c>
      <c r="D192">
        <v>0</v>
      </c>
      <c r="E192" t="s">
        <v>11</v>
      </c>
      <c r="F192" t="s">
        <v>12</v>
      </c>
      <c r="G192">
        <v>12557.605299999999</v>
      </c>
      <c r="H192" t="str">
        <f t="shared" si="6"/>
        <v>60+</v>
      </c>
      <c r="I192" t="str">
        <f t="shared" si="7"/>
        <v>Obese</v>
      </c>
      <c r="J192" t="str">
        <f t="shared" si="8"/>
        <v>No</v>
      </c>
    </row>
    <row r="193" spans="1:10" x14ac:dyDescent="0.25">
      <c r="A193">
        <v>36</v>
      </c>
      <c r="B193" t="s">
        <v>7</v>
      </c>
      <c r="C193">
        <v>26.2</v>
      </c>
      <c r="D193">
        <v>0</v>
      </c>
      <c r="E193" t="s">
        <v>11</v>
      </c>
      <c r="F193" t="s">
        <v>9</v>
      </c>
      <c r="G193">
        <v>4883.866</v>
      </c>
      <c r="H193" t="str">
        <f t="shared" si="6"/>
        <v>30-39</v>
      </c>
      <c r="I193" t="str">
        <f t="shared" si="7"/>
        <v>Overweight</v>
      </c>
      <c r="J193" t="str">
        <f t="shared" si="8"/>
        <v>No</v>
      </c>
    </row>
    <row r="194" spans="1:10" x14ac:dyDescent="0.25">
      <c r="A194">
        <v>25</v>
      </c>
      <c r="B194" t="s">
        <v>10</v>
      </c>
      <c r="C194">
        <v>25.74</v>
      </c>
      <c r="D194">
        <v>0</v>
      </c>
      <c r="E194" t="s">
        <v>11</v>
      </c>
      <c r="F194" t="s">
        <v>12</v>
      </c>
      <c r="G194">
        <v>2137.6536000000001</v>
      </c>
      <c r="H194" t="str">
        <f t="shared" ref="H194:H257" si="9">IF(A194&lt;30, "18-29", IF(A194&lt;40, "30-39", IF(A194&lt;50, "40-49", IF(A194&lt;60, "50-59", "60+"))))</f>
        <v>18-29</v>
      </c>
      <c r="I194" t="str">
        <f t="shared" ref="I194:I257" si="10">IF(C194&lt;18.5, "Underweight", IF(C194&lt;25, "Normal", IF(C194&lt;30,"Overweight","Obese")))</f>
        <v>Overweight</v>
      </c>
      <c r="J194" t="str">
        <f t="shared" ref="J194:J257" si="11">IF(G194&gt;20000,"Yes","No")</f>
        <v>No</v>
      </c>
    </row>
    <row r="195" spans="1:10" x14ac:dyDescent="0.25">
      <c r="A195">
        <v>56</v>
      </c>
      <c r="B195" t="s">
        <v>7</v>
      </c>
      <c r="C195">
        <v>26.6</v>
      </c>
      <c r="D195">
        <v>1</v>
      </c>
      <c r="E195" t="s">
        <v>11</v>
      </c>
      <c r="F195" t="s">
        <v>13</v>
      </c>
      <c r="G195">
        <v>12044.342000000001</v>
      </c>
      <c r="H195" t="str">
        <f t="shared" si="9"/>
        <v>50-59</v>
      </c>
      <c r="I195" t="str">
        <f t="shared" si="10"/>
        <v>Overweight</v>
      </c>
      <c r="J195" t="str">
        <f t="shared" si="11"/>
        <v>No</v>
      </c>
    </row>
    <row r="196" spans="1:10" x14ac:dyDescent="0.25">
      <c r="A196">
        <v>18</v>
      </c>
      <c r="B196" t="s">
        <v>10</v>
      </c>
      <c r="C196">
        <v>34.43</v>
      </c>
      <c r="D196">
        <v>0</v>
      </c>
      <c r="E196" t="s">
        <v>11</v>
      </c>
      <c r="F196" t="s">
        <v>12</v>
      </c>
      <c r="G196">
        <v>1137.4697000000001</v>
      </c>
      <c r="H196" t="str">
        <f t="shared" si="9"/>
        <v>18-29</v>
      </c>
      <c r="I196" t="str">
        <f t="shared" si="10"/>
        <v>Obese</v>
      </c>
      <c r="J196" t="str">
        <f t="shared" si="11"/>
        <v>No</v>
      </c>
    </row>
    <row r="197" spans="1:10" x14ac:dyDescent="0.25">
      <c r="A197">
        <v>19</v>
      </c>
      <c r="B197" t="s">
        <v>10</v>
      </c>
      <c r="C197">
        <v>30.59</v>
      </c>
      <c r="D197">
        <v>0</v>
      </c>
      <c r="E197" t="s">
        <v>11</v>
      </c>
      <c r="F197" t="s">
        <v>13</v>
      </c>
      <c r="G197">
        <v>1639.5631000000001</v>
      </c>
      <c r="H197" t="str">
        <f t="shared" si="9"/>
        <v>18-29</v>
      </c>
      <c r="I197" t="str">
        <f t="shared" si="10"/>
        <v>Obese</v>
      </c>
      <c r="J197" t="str">
        <f t="shared" si="11"/>
        <v>No</v>
      </c>
    </row>
    <row r="198" spans="1:10" x14ac:dyDescent="0.25">
      <c r="A198">
        <v>39</v>
      </c>
      <c r="B198" t="s">
        <v>7</v>
      </c>
      <c r="C198">
        <v>32.799999999999997</v>
      </c>
      <c r="D198">
        <v>0</v>
      </c>
      <c r="E198" t="s">
        <v>11</v>
      </c>
      <c r="F198" t="s">
        <v>9</v>
      </c>
      <c r="G198">
        <v>5649.7150000000001</v>
      </c>
      <c r="H198" t="str">
        <f t="shared" si="9"/>
        <v>30-39</v>
      </c>
      <c r="I198" t="str">
        <f t="shared" si="10"/>
        <v>Obese</v>
      </c>
      <c r="J198" t="str">
        <f t="shared" si="11"/>
        <v>No</v>
      </c>
    </row>
    <row r="199" spans="1:10" x14ac:dyDescent="0.25">
      <c r="A199">
        <v>45</v>
      </c>
      <c r="B199" t="s">
        <v>7</v>
      </c>
      <c r="C199">
        <v>28.6</v>
      </c>
      <c r="D199">
        <v>2</v>
      </c>
      <c r="E199" t="s">
        <v>11</v>
      </c>
      <c r="F199" t="s">
        <v>12</v>
      </c>
      <c r="G199">
        <v>8516.8289999999997</v>
      </c>
      <c r="H199" t="str">
        <f t="shared" si="9"/>
        <v>40-49</v>
      </c>
      <c r="I199" t="str">
        <f t="shared" si="10"/>
        <v>Overweight</v>
      </c>
      <c r="J199" t="str">
        <f t="shared" si="11"/>
        <v>No</v>
      </c>
    </row>
    <row r="200" spans="1:10" x14ac:dyDescent="0.25">
      <c r="A200">
        <v>51</v>
      </c>
      <c r="B200" t="s">
        <v>7</v>
      </c>
      <c r="C200">
        <v>18.05</v>
      </c>
      <c r="D200">
        <v>0</v>
      </c>
      <c r="E200" t="s">
        <v>11</v>
      </c>
      <c r="F200" t="s">
        <v>13</v>
      </c>
      <c r="G200">
        <v>9644.2525000000005</v>
      </c>
      <c r="H200" t="str">
        <f t="shared" si="9"/>
        <v>50-59</v>
      </c>
      <c r="I200" t="str">
        <f t="shared" si="10"/>
        <v>Underweight</v>
      </c>
      <c r="J200" t="str">
        <f t="shared" si="11"/>
        <v>No</v>
      </c>
    </row>
    <row r="201" spans="1:10" x14ac:dyDescent="0.25">
      <c r="A201">
        <v>64</v>
      </c>
      <c r="B201" t="s">
        <v>7</v>
      </c>
      <c r="C201">
        <v>39.33</v>
      </c>
      <c r="D201">
        <v>0</v>
      </c>
      <c r="E201" t="s">
        <v>11</v>
      </c>
      <c r="F201" t="s">
        <v>14</v>
      </c>
      <c r="G201">
        <v>14901.5167</v>
      </c>
      <c r="H201" t="str">
        <f t="shared" si="9"/>
        <v>60+</v>
      </c>
      <c r="I201" t="str">
        <f t="shared" si="10"/>
        <v>Obese</v>
      </c>
      <c r="J201" t="str">
        <f t="shared" si="11"/>
        <v>No</v>
      </c>
    </row>
    <row r="202" spans="1:10" x14ac:dyDescent="0.25">
      <c r="A202">
        <v>19</v>
      </c>
      <c r="B202" t="s">
        <v>7</v>
      </c>
      <c r="C202">
        <v>32.11</v>
      </c>
      <c r="D202">
        <v>0</v>
      </c>
      <c r="E202" t="s">
        <v>11</v>
      </c>
      <c r="F202" t="s">
        <v>13</v>
      </c>
      <c r="G202">
        <v>2130.6759000000002</v>
      </c>
      <c r="H202" t="str">
        <f t="shared" si="9"/>
        <v>18-29</v>
      </c>
      <c r="I202" t="str">
        <f t="shared" si="10"/>
        <v>Obese</v>
      </c>
      <c r="J202" t="str">
        <f t="shared" si="11"/>
        <v>No</v>
      </c>
    </row>
    <row r="203" spans="1:10" x14ac:dyDescent="0.25">
      <c r="A203">
        <v>48</v>
      </c>
      <c r="B203" t="s">
        <v>7</v>
      </c>
      <c r="C203">
        <v>32.229999999999997</v>
      </c>
      <c r="D203">
        <v>1</v>
      </c>
      <c r="E203" t="s">
        <v>11</v>
      </c>
      <c r="F203" t="s">
        <v>12</v>
      </c>
      <c r="G203">
        <v>8871.1517000000003</v>
      </c>
      <c r="H203" t="str">
        <f t="shared" si="9"/>
        <v>40-49</v>
      </c>
      <c r="I203" t="str">
        <f t="shared" si="10"/>
        <v>Obese</v>
      </c>
      <c r="J203" t="str">
        <f t="shared" si="11"/>
        <v>No</v>
      </c>
    </row>
    <row r="204" spans="1:10" x14ac:dyDescent="0.25">
      <c r="A204">
        <v>60</v>
      </c>
      <c r="B204" t="s">
        <v>7</v>
      </c>
      <c r="C204">
        <v>24.035</v>
      </c>
      <c r="D204">
        <v>0</v>
      </c>
      <c r="E204" t="s">
        <v>11</v>
      </c>
      <c r="F204" t="s">
        <v>13</v>
      </c>
      <c r="G204">
        <v>13012.20865</v>
      </c>
      <c r="H204" t="str">
        <f t="shared" si="9"/>
        <v>60+</v>
      </c>
      <c r="I204" t="str">
        <f t="shared" si="10"/>
        <v>Normal</v>
      </c>
      <c r="J204" t="str">
        <f t="shared" si="11"/>
        <v>No</v>
      </c>
    </row>
    <row r="205" spans="1:10" x14ac:dyDescent="0.25">
      <c r="A205">
        <v>27</v>
      </c>
      <c r="B205" t="s">
        <v>7</v>
      </c>
      <c r="C205">
        <v>36.08</v>
      </c>
      <c r="D205">
        <v>0</v>
      </c>
      <c r="E205" t="s">
        <v>8</v>
      </c>
      <c r="F205" t="s">
        <v>12</v>
      </c>
      <c r="G205">
        <v>37133.898200000003</v>
      </c>
      <c r="H205" t="str">
        <f t="shared" si="9"/>
        <v>18-29</v>
      </c>
      <c r="I205" t="str">
        <f t="shared" si="10"/>
        <v>Obese</v>
      </c>
      <c r="J205" t="str">
        <f t="shared" si="11"/>
        <v>Yes</v>
      </c>
    </row>
    <row r="206" spans="1:10" x14ac:dyDescent="0.25">
      <c r="A206">
        <v>46</v>
      </c>
      <c r="B206" t="s">
        <v>10</v>
      </c>
      <c r="C206">
        <v>22.3</v>
      </c>
      <c r="D206">
        <v>0</v>
      </c>
      <c r="E206" t="s">
        <v>11</v>
      </c>
      <c r="F206" t="s">
        <v>9</v>
      </c>
      <c r="G206">
        <v>7147.1049999999996</v>
      </c>
      <c r="H206" t="str">
        <f t="shared" si="9"/>
        <v>40-49</v>
      </c>
      <c r="I206" t="str">
        <f t="shared" si="10"/>
        <v>Normal</v>
      </c>
      <c r="J206" t="str">
        <f t="shared" si="11"/>
        <v>No</v>
      </c>
    </row>
    <row r="207" spans="1:10" x14ac:dyDescent="0.25">
      <c r="A207">
        <v>28</v>
      </c>
      <c r="B207" t="s">
        <v>7</v>
      </c>
      <c r="C207">
        <v>28.88</v>
      </c>
      <c r="D207">
        <v>1</v>
      </c>
      <c r="E207" t="s">
        <v>11</v>
      </c>
      <c r="F207" t="s">
        <v>14</v>
      </c>
      <c r="G207">
        <v>4337.7352000000001</v>
      </c>
      <c r="H207" t="str">
        <f t="shared" si="9"/>
        <v>18-29</v>
      </c>
      <c r="I207" t="str">
        <f t="shared" si="10"/>
        <v>Overweight</v>
      </c>
      <c r="J207" t="str">
        <f t="shared" si="11"/>
        <v>No</v>
      </c>
    </row>
    <row r="208" spans="1:10" x14ac:dyDescent="0.25">
      <c r="A208">
        <v>59</v>
      </c>
      <c r="B208" t="s">
        <v>10</v>
      </c>
      <c r="C208">
        <v>26.4</v>
      </c>
      <c r="D208">
        <v>0</v>
      </c>
      <c r="E208" t="s">
        <v>11</v>
      </c>
      <c r="F208" t="s">
        <v>12</v>
      </c>
      <c r="G208">
        <v>11743.299000000001</v>
      </c>
      <c r="H208" t="str">
        <f t="shared" si="9"/>
        <v>50-59</v>
      </c>
      <c r="I208" t="str">
        <f t="shared" si="10"/>
        <v>Overweight</v>
      </c>
      <c r="J208" t="str">
        <f t="shared" si="11"/>
        <v>No</v>
      </c>
    </row>
    <row r="209" spans="1:10" x14ac:dyDescent="0.25">
      <c r="A209">
        <v>35</v>
      </c>
      <c r="B209" t="s">
        <v>10</v>
      </c>
      <c r="C209">
        <v>27.74</v>
      </c>
      <c r="D209">
        <v>2</v>
      </c>
      <c r="E209" t="s">
        <v>8</v>
      </c>
      <c r="F209" t="s">
        <v>14</v>
      </c>
      <c r="G209">
        <v>20984.0936</v>
      </c>
      <c r="H209" t="str">
        <f t="shared" si="9"/>
        <v>30-39</v>
      </c>
      <c r="I209" t="str">
        <f t="shared" si="10"/>
        <v>Overweight</v>
      </c>
      <c r="J209" t="str">
        <f t="shared" si="11"/>
        <v>Yes</v>
      </c>
    </row>
    <row r="210" spans="1:10" x14ac:dyDescent="0.25">
      <c r="A210">
        <v>63</v>
      </c>
      <c r="B210" t="s">
        <v>7</v>
      </c>
      <c r="C210">
        <v>31.8</v>
      </c>
      <c r="D210">
        <v>0</v>
      </c>
      <c r="E210" t="s">
        <v>11</v>
      </c>
      <c r="F210" t="s">
        <v>9</v>
      </c>
      <c r="G210">
        <v>13880.949000000001</v>
      </c>
      <c r="H210" t="str">
        <f t="shared" si="9"/>
        <v>60+</v>
      </c>
      <c r="I210" t="str">
        <f t="shared" si="10"/>
        <v>Obese</v>
      </c>
      <c r="J210" t="str">
        <f t="shared" si="11"/>
        <v>No</v>
      </c>
    </row>
    <row r="211" spans="1:10" x14ac:dyDescent="0.25">
      <c r="A211">
        <v>40</v>
      </c>
      <c r="B211" t="s">
        <v>10</v>
      </c>
      <c r="C211">
        <v>41.23</v>
      </c>
      <c r="D211">
        <v>1</v>
      </c>
      <c r="E211" t="s">
        <v>11</v>
      </c>
      <c r="F211" t="s">
        <v>14</v>
      </c>
      <c r="G211">
        <v>6610.1097</v>
      </c>
      <c r="H211" t="str">
        <f t="shared" si="9"/>
        <v>40-49</v>
      </c>
      <c r="I211" t="str">
        <f t="shared" si="10"/>
        <v>Obese</v>
      </c>
      <c r="J211" t="str">
        <f t="shared" si="11"/>
        <v>No</v>
      </c>
    </row>
    <row r="212" spans="1:10" x14ac:dyDescent="0.25">
      <c r="A212">
        <v>20</v>
      </c>
      <c r="B212" t="s">
        <v>10</v>
      </c>
      <c r="C212">
        <v>33</v>
      </c>
      <c r="D212">
        <v>1</v>
      </c>
      <c r="E212" t="s">
        <v>11</v>
      </c>
      <c r="F212" t="s">
        <v>9</v>
      </c>
      <c r="G212">
        <v>1980.07</v>
      </c>
      <c r="H212" t="str">
        <f t="shared" si="9"/>
        <v>18-29</v>
      </c>
      <c r="I212" t="str">
        <f t="shared" si="10"/>
        <v>Obese</v>
      </c>
      <c r="J212" t="str">
        <f t="shared" si="11"/>
        <v>No</v>
      </c>
    </row>
    <row r="213" spans="1:10" x14ac:dyDescent="0.25">
      <c r="A213">
        <v>40</v>
      </c>
      <c r="B213" t="s">
        <v>10</v>
      </c>
      <c r="C213">
        <v>30.875</v>
      </c>
      <c r="D213">
        <v>4</v>
      </c>
      <c r="E213" t="s">
        <v>11</v>
      </c>
      <c r="F213" t="s">
        <v>13</v>
      </c>
      <c r="G213">
        <v>8162.7162500000004</v>
      </c>
      <c r="H213" t="str">
        <f t="shared" si="9"/>
        <v>40-49</v>
      </c>
      <c r="I213" t="str">
        <f t="shared" si="10"/>
        <v>Obese</v>
      </c>
      <c r="J213" t="str">
        <f t="shared" si="11"/>
        <v>No</v>
      </c>
    </row>
    <row r="214" spans="1:10" x14ac:dyDescent="0.25">
      <c r="A214">
        <v>24</v>
      </c>
      <c r="B214" t="s">
        <v>10</v>
      </c>
      <c r="C214">
        <v>28.5</v>
      </c>
      <c r="D214">
        <v>2</v>
      </c>
      <c r="E214" t="s">
        <v>11</v>
      </c>
      <c r="F214" t="s">
        <v>13</v>
      </c>
      <c r="G214">
        <v>3537.703</v>
      </c>
      <c r="H214" t="str">
        <f t="shared" si="9"/>
        <v>18-29</v>
      </c>
      <c r="I214" t="str">
        <f t="shared" si="10"/>
        <v>Overweight</v>
      </c>
      <c r="J214" t="str">
        <f t="shared" si="11"/>
        <v>No</v>
      </c>
    </row>
    <row r="215" spans="1:10" x14ac:dyDescent="0.25">
      <c r="A215">
        <v>34</v>
      </c>
      <c r="B215" t="s">
        <v>7</v>
      </c>
      <c r="C215">
        <v>26.73</v>
      </c>
      <c r="D215">
        <v>1</v>
      </c>
      <c r="E215" t="s">
        <v>11</v>
      </c>
      <c r="F215" t="s">
        <v>12</v>
      </c>
      <c r="G215">
        <v>5002.7826999999997</v>
      </c>
      <c r="H215" t="str">
        <f t="shared" si="9"/>
        <v>30-39</v>
      </c>
      <c r="I215" t="str">
        <f t="shared" si="10"/>
        <v>Overweight</v>
      </c>
      <c r="J215" t="str">
        <f t="shared" si="11"/>
        <v>No</v>
      </c>
    </row>
    <row r="216" spans="1:10" x14ac:dyDescent="0.25">
      <c r="A216">
        <v>45</v>
      </c>
      <c r="B216" t="s">
        <v>7</v>
      </c>
      <c r="C216">
        <v>30.9</v>
      </c>
      <c r="D216">
        <v>2</v>
      </c>
      <c r="E216" t="s">
        <v>11</v>
      </c>
      <c r="F216" t="s">
        <v>9</v>
      </c>
      <c r="G216">
        <v>8520.0259999999998</v>
      </c>
      <c r="H216" t="str">
        <f t="shared" si="9"/>
        <v>40-49</v>
      </c>
      <c r="I216" t="str">
        <f t="shared" si="10"/>
        <v>Obese</v>
      </c>
      <c r="J216" t="str">
        <f t="shared" si="11"/>
        <v>No</v>
      </c>
    </row>
    <row r="217" spans="1:10" x14ac:dyDescent="0.25">
      <c r="A217">
        <v>41</v>
      </c>
      <c r="B217" t="s">
        <v>7</v>
      </c>
      <c r="C217">
        <v>37.1</v>
      </c>
      <c r="D217">
        <v>2</v>
      </c>
      <c r="E217" t="s">
        <v>11</v>
      </c>
      <c r="F217" t="s">
        <v>9</v>
      </c>
      <c r="G217">
        <v>7371.7719999999999</v>
      </c>
      <c r="H217" t="str">
        <f t="shared" si="9"/>
        <v>40-49</v>
      </c>
      <c r="I217" t="str">
        <f t="shared" si="10"/>
        <v>Obese</v>
      </c>
      <c r="J217" t="str">
        <f t="shared" si="11"/>
        <v>No</v>
      </c>
    </row>
    <row r="218" spans="1:10" x14ac:dyDescent="0.25">
      <c r="A218">
        <v>53</v>
      </c>
      <c r="B218" t="s">
        <v>7</v>
      </c>
      <c r="C218">
        <v>26.6</v>
      </c>
      <c r="D218">
        <v>0</v>
      </c>
      <c r="E218" t="s">
        <v>11</v>
      </c>
      <c r="F218" t="s">
        <v>13</v>
      </c>
      <c r="G218">
        <v>10355.641</v>
      </c>
      <c r="H218" t="str">
        <f t="shared" si="9"/>
        <v>50-59</v>
      </c>
      <c r="I218" t="str">
        <f t="shared" si="10"/>
        <v>Overweight</v>
      </c>
      <c r="J218" t="str">
        <f t="shared" si="11"/>
        <v>No</v>
      </c>
    </row>
    <row r="219" spans="1:10" x14ac:dyDescent="0.25">
      <c r="A219">
        <v>27</v>
      </c>
      <c r="B219" t="s">
        <v>10</v>
      </c>
      <c r="C219">
        <v>23.1</v>
      </c>
      <c r="D219">
        <v>0</v>
      </c>
      <c r="E219" t="s">
        <v>11</v>
      </c>
      <c r="F219" t="s">
        <v>12</v>
      </c>
      <c r="G219">
        <v>2483.7359999999999</v>
      </c>
      <c r="H219" t="str">
        <f t="shared" si="9"/>
        <v>18-29</v>
      </c>
      <c r="I219" t="str">
        <f t="shared" si="10"/>
        <v>Normal</v>
      </c>
      <c r="J219" t="str">
        <f t="shared" si="11"/>
        <v>No</v>
      </c>
    </row>
    <row r="220" spans="1:10" x14ac:dyDescent="0.25">
      <c r="A220">
        <v>26</v>
      </c>
      <c r="B220" t="s">
        <v>7</v>
      </c>
      <c r="C220">
        <v>29.92</v>
      </c>
      <c r="D220">
        <v>1</v>
      </c>
      <c r="E220" t="s">
        <v>11</v>
      </c>
      <c r="F220" t="s">
        <v>12</v>
      </c>
      <c r="G220">
        <v>3392.9767999999999</v>
      </c>
      <c r="H220" t="str">
        <f t="shared" si="9"/>
        <v>18-29</v>
      </c>
      <c r="I220" t="str">
        <f t="shared" si="10"/>
        <v>Overweight</v>
      </c>
      <c r="J220" t="str">
        <f t="shared" si="11"/>
        <v>No</v>
      </c>
    </row>
    <row r="221" spans="1:10" x14ac:dyDescent="0.25">
      <c r="A221">
        <v>24</v>
      </c>
      <c r="B221" t="s">
        <v>7</v>
      </c>
      <c r="C221">
        <v>23.21</v>
      </c>
      <c r="D221">
        <v>0</v>
      </c>
      <c r="E221" t="s">
        <v>11</v>
      </c>
      <c r="F221" t="s">
        <v>12</v>
      </c>
      <c r="G221">
        <v>25081.76784</v>
      </c>
      <c r="H221" t="str">
        <f t="shared" si="9"/>
        <v>18-29</v>
      </c>
      <c r="I221" t="str">
        <f t="shared" si="10"/>
        <v>Normal</v>
      </c>
      <c r="J221" t="str">
        <f t="shared" si="11"/>
        <v>Yes</v>
      </c>
    </row>
    <row r="222" spans="1:10" x14ac:dyDescent="0.25">
      <c r="A222">
        <v>34</v>
      </c>
      <c r="B222" t="s">
        <v>7</v>
      </c>
      <c r="C222">
        <v>33.700000000000003</v>
      </c>
      <c r="D222">
        <v>1</v>
      </c>
      <c r="E222" t="s">
        <v>11</v>
      </c>
      <c r="F222" t="s">
        <v>9</v>
      </c>
      <c r="G222">
        <v>5012.4709999999995</v>
      </c>
      <c r="H222" t="str">
        <f t="shared" si="9"/>
        <v>30-39</v>
      </c>
      <c r="I222" t="str">
        <f t="shared" si="10"/>
        <v>Obese</v>
      </c>
      <c r="J222" t="str">
        <f t="shared" si="11"/>
        <v>No</v>
      </c>
    </row>
    <row r="223" spans="1:10" x14ac:dyDescent="0.25">
      <c r="A223">
        <v>53</v>
      </c>
      <c r="B223" t="s">
        <v>7</v>
      </c>
      <c r="C223">
        <v>33.25</v>
      </c>
      <c r="D223">
        <v>0</v>
      </c>
      <c r="E223" t="s">
        <v>11</v>
      </c>
      <c r="F223" t="s">
        <v>14</v>
      </c>
      <c r="G223">
        <v>10564.8845</v>
      </c>
      <c r="H223" t="str">
        <f t="shared" si="9"/>
        <v>50-59</v>
      </c>
      <c r="I223" t="str">
        <f t="shared" si="10"/>
        <v>Obese</v>
      </c>
      <c r="J223" t="str">
        <f t="shared" si="11"/>
        <v>No</v>
      </c>
    </row>
    <row r="224" spans="1:10" x14ac:dyDescent="0.25">
      <c r="A224">
        <v>32</v>
      </c>
      <c r="B224" t="s">
        <v>10</v>
      </c>
      <c r="C224">
        <v>30.8</v>
      </c>
      <c r="D224">
        <v>3</v>
      </c>
      <c r="E224" t="s">
        <v>11</v>
      </c>
      <c r="F224" t="s">
        <v>9</v>
      </c>
      <c r="G224">
        <v>5253.5240000000003</v>
      </c>
      <c r="H224" t="str">
        <f t="shared" si="9"/>
        <v>30-39</v>
      </c>
      <c r="I224" t="str">
        <f t="shared" si="10"/>
        <v>Obese</v>
      </c>
      <c r="J224" t="str">
        <f t="shared" si="11"/>
        <v>No</v>
      </c>
    </row>
    <row r="225" spans="1:10" x14ac:dyDescent="0.25">
      <c r="A225">
        <v>19</v>
      </c>
      <c r="B225" t="s">
        <v>10</v>
      </c>
      <c r="C225">
        <v>34.799999999999997</v>
      </c>
      <c r="D225">
        <v>0</v>
      </c>
      <c r="E225" t="s">
        <v>8</v>
      </c>
      <c r="F225" t="s">
        <v>9</v>
      </c>
      <c r="G225">
        <v>34779.614999999998</v>
      </c>
      <c r="H225" t="str">
        <f t="shared" si="9"/>
        <v>18-29</v>
      </c>
      <c r="I225" t="str">
        <f t="shared" si="10"/>
        <v>Obese</v>
      </c>
      <c r="J225" t="str">
        <f t="shared" si="11"/>
        <v>Yes</v>
      </c>
    </row>
    <row r="226" spans="1:10" x14ac:dyDescent="0.25">
      <c r="A226">
        <v>42</v>
      </c>
      <c r="B226" t="s">
        <v>10</v>
      </c>
      <c r="C226">
        <v>24.64</v>
      </c>
      <c r="D226">
        <v>0</v>
      </c>
      <c r="E226" t="s">
        <v>8</v>
      </c>
      <c r="F226" t="s">
        <v>12</v>
      </c>
      <c r="G226">
        <v>19515.5416</v>
      </c>
      <c r="H226" t="str">
        <f t="shared" si="9"/>
        <v>40-49</v>
      </c>
      <c r="I226" t="str">
        <f t="shared" si="10"/>
        <v>Normal</v>
      </c>
      <c r="J226" t="str">
        <f t="shared" si="11"/>
        <v>No</v>
      </c>
    </row>
    <row r="227" spans="1:10" x14ac:dyDescent="0.25">
      <c r="A227">
        <v>55</v>
      </c>
      <c r="B227" t="s">
        <v>10</v>
      </c>
      <c r="C227">
        <v>33.880000000000003</v>
      </c>
      <c r="D227">
        <v>3</v>
      </c>
      <c r="E227" t="s">
        <v>11</v>
      </c>
      <c r="F227" t="s">
        <v>12</v>
      </c>
      <c r="G227">
        <v>11987.1682</v>
      </c>
      <c r="H227" t="str">
        <f t="shared" si="9"/>
        <v>50-59</v>
      </c>
      <c r="I227" t="str">
        <f t="shared" si="10"/>
        <v>Obese</v>
      </c>
      <c r="J227" t="str">
        <f t="shared" si="11"/>
        <v>No</v>
      </c>
    </row>
    <row r="228" spans="1:10" x14ac:dyDescent="0.25">
      <c r="A228">
        <v>28</v>
      </c>
      <c r="B228" t="s">
        <v>10</v>
      </c>
      <c r="C228">
        <v>38.06</v>
      </c>
      <c r="D228">
        <v>0</v>
      </c>
      <c r="E228" t="s">
        <v>11</v>
      </c>
      <c r="F228" t="s">
        <v>12</v>
      </c>
      <c r="G228">
        <v>2689.4953999999998</v>
      </c>
      <c r="H228" t="str">
        <f t="shared" si="9"/>
        <v>18-29</v>
      </c>
      <c r="I228" t="str">
        <f t="shared" si="10"/>
        <v>Obese</v>
      </c>
      <c r="J228" t="str">
        <f t="shared" si="11"/>
        <v>No</v>
      </c>
    </row>
    <row r="229" spans="1:10" x14ac:dyDescent="0.25">
      <c r="A229">
        <v>58</v>
      </c>
      <c r="B229" t="s">
        <v>7</v>
      </c>
      <c r="C229">
        <v>41.91</v>
      </c>
      <c r="D229">
        <v>0</v>
      </c>
      <c r="E229" t="s">
        <v>11</v>
      </c>
      <c r="F229" t="s">
        <v>12</v>
      </c>
      <c r="G229">
        <v>24227.337240000001</v>
      </c>
      <c r="H229" t="str">
        <f t="shared" si="9"/>
        <v>50-59</v>
      </c>
      <c r="I229" t="str">
        <f t="shared" si="10"/>
        <v>Obese</v>
      </c>
      <c r="J229" t="str">
        <f t="shared" si="11"/>
        <v>Yes</v>
      </c>
    </row>
    <row r="230" spans="1:10" x14ac:dyDescent="0.25">
      <c r="A230">
        <v>41</v>
      </c>
      <c r="B230" t="s">
        <v>7</v>
      </c>
      <c r="C230">
        <v>31.635000000000002</v>
      </c>
      <c r="D230">
        <v>1</v>
      </c>
      <c r="E230" t="s">
        <v>11</v>
      </c>
      <c r="F230" t="s">
        <v>14</v>
      </c>
      <c r="G230">
        <v>7358.1756500000001</v>
      </c>
      <c r="H230" t="str">
        <f t="shared" si="9"/>
        <v>40-49</v>
      </c>
      <c r="I230" t="str">
        <f t="shared" si="10"/>
        <v>Obese</v>
      </c>
      <c r="J230" t="str">
        <f t="shared" si="11"/>
        <v>No</v>
      </c>
    </row>
    <row r="231" spans="1:10" x14ac:dyDescent="0.25">
      <c r="A231">
        <v>47</v>
      </c>
      <c r="B231" t="s">
        <v>10</v>
      </c>
      <c r="C231">
        <v>25.46</v>
      </c>
      <c r="D231">
        <v>2</v>
      </c>
      <c r="E231" t="s">
        <v>11</v>
      </c>
      <c r="F231" t="s">
        <v>14</v>
      </c>
      <c r="G231">
        <v>9225.2564000000002</v>
      </c>
      <c r="H231" t="str">
        <f t="shared" si="9"/>
        <v>40-49</v>
      </c>
      <c r="I231" t="str">
        <f t="shared" si="10"/>
        <v>Overweight</v>
      </c>
      <c r="J231" t="str">
        <f t="shared" si="11"/>
        <v>No</v>
      </c>
    </row>
    <row r="232" spans="1:10" x14ac:dyDescent="0.25">
      <c r="A232">
        <v>42</v>
      </c>
      <c r="B232" t="s">
        <v>7</v>
      </c>
      <c r="C232">
        <v>36.195</v>
      </c>
      <c r="D232">
        <v>1</v>
      </c>
      <c r="E232" t="s">
        <v>11</v>
      </c>
      <c r="F232" t="s">
        <v>13</v>
      </c>
      <c r="G232">
        <v>7443.6430499999997</v>
      </c>
      <c r="H232" t="str">
        <f t="shared" si="9"/>
        <v>40-49</v>
      </c>
      <c r="I232" t="str">
        <f t="shared" si="10"/>
        <v>Obese</v>
      </c>
      <c r="J232" t="str">
        <f t="shared" si="11"/>
        <v>No</v>
      </c>
    </row>
    <row r="233" spans="1:10" x14ac:dyDescent="0.25">
      <c r="A233">
        <v>59</v>
      </c>
      <c r="B233" t="s">
        <v>7</v>
      </c>
      <c r="C233">
        <v>27.83</v>
      </c>
      <c r="D233">
        <v>3</v>
      </c>
      <c r="E233" t="s">
        <v>11</v>
      </c>
      <c r="F233" t="s">
        <v>12</v>
      </c>
      <c r="G233">
        <v>14001.286700000001</v>
      </c>
      <c r="H233" t="str">
        <f t="shared" si="9"/>
        <v>50-59</v>
      </c>
      <c r="I233" t="str">
        <f t="shared" si="10"/>
        <v>Overweight</v>
      </c>
      <c r="J233" t="str">
        <f t="shared" si="11"/>
        <v>No</v>
      </c>
    </row>
    <row r="234" spans="1:10" x14ac:dyDescent="0.25">
      <c r="A234">
        <v>19</v>
      </c>
      <c r="B234" t="s">
        <v>7</v>
      </c>
      <c r="C234">
        <v>17.8</v>
      </c>
      <c r="D234">
        <v>0</v>
      </c>
      <c r="E234" t="s">
        <v>11</v>
      </c>
      <c r="F234" t="s">
        <v>9</v>
      </c>
      <c r="G234">
        <v>1727.7850000000001</v>
      </c>
      <c r="H234" t="str">
        <f t="shared" si="9"/>
        <v>18-29</v>
      </c>
      <c r="I234" t="str">
        <f t="shared" si="10"/>
        <v>Underweight</v>
      </c>
      <c r="J234" t="str">
        <f t="shared" si="11"/>
        <v>No</v>
      </c>
    </row>
    <row r="235" spans="1:10" x14ac:dyDescent="0.25">
      <c r="A235">
        <v>59</v>
      </c>
      <c r="B235" t="s">
        <v>10</v>
      </c>
      <c r="C235">
        <v>27.5</v>
      </c>
      <c r="D235">
        <v>1</v>
      </c>
      <c r="E235" t="s">
        <v>11</v>
      </c>
      <c r="F235" t="s">
        <v>9</v>
      </c>
      <c r="G235">
        <v>12333.828</v>
      </c>
      <c r="H235" t="str">
        <f t="shared" si="9"/>
        <v>50-59</v>
      </c>
      <c r="I235" t="str">
        <f t="shared" si="10"/>
        <v>Overweight</v>
      </c>
      <c r="J235" t="str">
        <f t="shared" si="11"/>
        <v>No</v>
      </c>
    </row>
    <row r="236" spans="1:10" x14ac:dyDescent="0.25">
      <c r="A236">
        <v>39</v>
      </c>
      <c r="B236" t="s">
        <v>10</v>
      </c>
      <c r="C236">
        <v>24.51</v>
      </c>
      <c r="D236">
        <v>2</v>
      </c>
      <c r="E236" t="s">
        <v>11</v>
      </c>
      <c r="F236" t="s">
        <v>13</v>
      </c>
      <c r="G236">
        <v>6710.1918999999998</v>
      </c>
      <c r="H236" t="str">
        <f t="shared" si="9"/>
        <v>30-39</v>
      </c>
      <c r="I236" t="str">
        <f t="shared" si="10"/>
        <v>Normal</v>
      </c>
      <c r="J236" t="str">
        <f t="shared" si="11"/>
        <v>No</v>
      </c>
    </row>
    <row r="237" spans="1:10" x14ac:dyDescent="0.25">
      <c r="A237">
        <v>40</v>
      </c>
      <c r="B237" t="s">
        <v>7</v>
      </c>
      <c r="C237">
        <v>22.22</v>
      </c>
      <c r="D237">
        <v>2</v>
      </c>
      <c r="E237" t="s">
        <v>8</v>
      </c>
      <c r="F237" t="s">
        <v>12</v>
      </c>
      <c r="G237">
        <v>19444.265800000001</v>
      </c>
      <c r="H237" t="str">
        <f t="shared" si="9"/>
        <v>40-49</v>
      </c>
      <c r="I237" t="str">
        <f t="shared" si="10"/>
        <v>Normal</v>
      </c>
      <c r="J237" t="str">
        <f t="shared" si="11"/>
        <v>No</v>
      </c>
    </row>
    <row r="238" spans="1:10" x14ac:dyDescent="0.25">
      <c r="A238">
        <v>18</v>
      </c>
      <c r="B238" t="s">
        <v>7</v>
      </c>
      <c r="C238">
        <v>26.73</v>
      </c>
      <c r="D238">
        <v>0</v>
      </c>
      <c r="E238" t="s">
        <v>11</v>
      </c>
      <c r="F238" t="s">
        <v>12</v>
      </c>
      <c r="G238">
        <v>1615.7666999999999</v>
      </c>
      <c r="H238" t="str">
        <f t="shared" si="9"/>
        <v>18-29</v>
      </c>
      <c r="I238" t="str">
        <f t="shared" si="10"/>
        <v>Overweight</v>
      </c>
      <c r="J238" t="str">
        <f t="shared" si="11"/>
        <v>No</v>
      </c>
    </row>
    <row r="239" spans="1:10" x14ac:dyDescent="0.25">
      <c r="A239">
        <v>31</v>
      </c>
      <c r="B239" t="s">
        <v>10</v>
      </c>
      <c r="C239">
        <v>38.39</v>
      </c>
      <c r="D239">
        <v>2</v>
      </c>
      <c r="E239" t="s">
        <v>11</v>
      </c>
      <c r="F239" t="s">
        <v>12</v>
      </c>
      <c r="G239">
        <v>4463.2051000000001</v>
      </c>
      <c r="H239" t="str">
        <f t="shared" si="9"/>
        <v>30-39</v>
      </c>
      <c r="I239" t="str">
        <f t="shared" si="10"/>
        <v>Obese</v>
      </c>
      <c r="J239" t="str">
        <f t="shared" si="11"/>
        <v>No</v>
      </c>
    </row>
    <row r="240" spans="1:10" x14ac:dyDescent="0.25">
      <c r="A240">
        <v>19</v>
      </c>
      <c r="B240" t="s">
        <v>10</v>
      </c>
      <c r="C240">
        <v>29.07</v>
      </c>
      <c r="D240">
        <v>0</v>
      </c>
      <c r="E240" t="s">
        <v>8</v>
      </c>
      <c r="F240" t="s">
        <v>13</v>
      </c>
      <c r="G240">
        <v>17352.6803</v>
      </c>
      <c r="H240" t="str">
        <f t="shared" si="9"/>
        <v>18-29</v>
      </c>
      <c r="I240" t="str">
        <f t="shared" si="10"/>
        <v>Overweight</v>
      </c>
      <c r="J240" t="str">
        <f t="shared" si="11"/>
        <v>No</v>
      </c>
    </row>
    <row r="241" spans="1:10" x14ac:dyDescent="0.25">
      <c r="A241">
        <v>44</v>
      </c>
      <c r="B241" t="s">
        <v>10</v>
      </c>
      <c r="C241">
        <v>38.06</v>
      </c>
      <c r="D241">
        <v>1</v>
      </c>
      <c r="E241" t="s">
        <v>11</v>
      </c>
      <c r="F241" t="s">
        <v>12</v>
      </c>
      <c r="G241">
        <v>7152.6714000000002</v>
      </c>
      <c r="H241" t="str">
        <f t="shared" si="9"/>
        <v>40-49</v>
      </c>
      <c r="I241" t="str">
        <f t="shared" si="10"/>
        <v>Obese</v>
      </c>
      <c r="J241" t="str">
        <f t="shared" si="11"/>
        <v>No</v>
      </c>
    </row>
    <row r="242" spans="1:10" x14ac:dyDescent="0.25">
      <c r="A242">
        <v>23</v>
      </c>
      <c r="B242" t="s">
        <v>7</v>
      </c>
      <c r="C242">
        <v>36.67</v>
      </c>
      <c r="D242">
        <v>2</v>
      </c>
      <c r="E242" t="s">
        <v>8</v>
      </c>
      <c r="F242" t="s">
        <v>14</v>
      </c>
      <c r="G242">
        <v>38511.628299999997</v>
      </c>
      <c r="H242" t="str">
        <f t="shared" si="9"/>
        <v>18-29</v>
      </c>
      <c r="I242" t="str">
        <f t="shared" si="10"/>
        <v>Obese</v>
      </c>
      <c r="J242" t="str">
        <f t="shared" si="11"/>
        <v>Yes</v>
      </c>
    </row>
    <row r="243" spans="1:10" x14ac:dyDescent="0.25">
      <c r="A243">
        <v>33</v>
      </c>
      <c r="B243" t="s">
        <v>7</v>
      </c>
      <c r="C243">
        <v>22.135000000000002</v>
      </c>
      <c r="D243">
        <v>1</v>
      </c>
      <c r="E243" t="s">
        <v>11</v>
      </c>
      <c r="F243" t="s">
        <v>14</v>
      </c>
      <c r="G243">
        <v>5354.0746499999996</v>
      </c>
      <c r="H243" t="str">
        <f t="shared" si="9"/>
        <v>30-39</v>
      </c>
      <c r="I243" t="str">
        <f t="shared" si="10"/>
        <v>Normal</v>
      </c>
      <c r="J243" t="str">
        <f t="shared" si="11"/>
        <v>No</v>
      </c>
    </row>
    <row r="244" spans="1:10" x14ac:dyDescent="0.25">
      <c r="A244">
        <v>55</v>
      </c>
      <c r="B244" t="s">
        <v>7</v>
      </c>
      <c r="C244">
        <v>26.8</v>
      </c>
      <c r="D244">
        <v>1</v>
      </c>
      <c r="E244" t="s">
        <v>11</v>
      </c>
      <c r="F244" t="s">
        <v>9</v>
      </c>
      <c r="G244">
        <v>35160.134570000002</v>
      </c>
      <c r="H244" t="str">
        <f t="shared" si="9"/>
        <v>50-59</v>
      </c>
      <c r="I244" t="str">
        <f t="shared" si="10"/>
        <v>Overweight</v>
      </c>
      <c r="J244" t="str">
        <f t="shared" si="11"/>
        <v>Yes</v>
      </c>
    </row>
    <row r="245" spans="1:10" x14ac:dyDescent="0.25">
      <c r="A245">
        <v>40</v>
      </c>
      <c r="B245" t="s">
        <v>10</v>
      </c>
      <c r="C245">
        <v>35.299999999999997</v>
      </c>
      <c r="D245">
        <v>3</v>
      </c>
      <c r="E245" t="s">
        <v>11</v>
      </c>
      <c r="F245" t="s">
        <v>9</v>
      </c>
      <c r="G245">
        <v>7196.8670000000002</v>
      </c>
      <c r="H245" t="str">
        <f t="shared" si="9"/>
        <v>40-49</v>
      </c>
      <c r="I245" t="str">
        <f t="shared" si="10"/>
        <v>Obese</v>
      </c>
      <c r="J245" t="str">
        <f t="shared" si="11"/>
        <v>No</v>
      </c>
    </row>
    <row r="246" spans="1:10" x14ac:dyDescent="0.25">
      <c r="A246">
        <v>63</v>
      </c>
      <c r="B246" t="s">
        <v>7</v>
      </c>
      <c r="C246">
        <v>27.74</v>
      </c>
      <c r="D246">
        <v>0</v>
      </c>
      <c r="E246" t="s">
        <v>8</v>
      </c>
      <c r="F246" t="s">
        <v>14</v>
      </c>
      <c r="G246">
        <v>29523.1656</v>
      </c>
      <c r="H246" t="str">
        <f t="shared" si="9"/>
        <v>60+</v>
      </c>
      <c r="I246" t="str">
        <f t="shared" si="10"/>
        <v>Overweight</v>
      </c>
      <c r="J246" t="str">
        <f t="shared" si="11"/>
        <v>Yes</v>
      </c>
    </row>
    <row r="247" spans="1:10" x14ac:dyDescent="0.25">
      <c r="A247">
        <v>54</v>
      </c>
      <c r="B247" t="s">
        <v>10</v>
      </c>
      <c r="C247">
        <v>30.02</v>
      </c>
      <c r="D247">
        <v>0</v>
      </c>
      <c r="E247" t="s">
        <v>11</v>
      </c>
      <c r="F247" t="s">
        <v>13</v>
      </c>
      <c r="G247">
        <v>24476.478510000001</v>
      </c>
      <c r="H247" t="str">
        <f t="shared" si="9"/>
        <v>50-59</v>
      </c>
      <c r="I247" t="str">
        <f t="shared" si="10"/>
        <v>Obese</v>
      </c>
      <c r="J247" t="str">
        <f t="shared" si="11"/>
        <v>Yes</v>
      </c>
    </row>
    <row r="248" spans="1:10" x14ac:dyDescent="0.25">
      <c r="A248">
        <v>60</v>
      </c>
      <c r="B248" t="s">
        <v>7</v>
      </c>
      <c r="C248">
        <v>38.06</v>
      </c>
      <c r="D248">
        <v>0</v>
      </c>
      <c r="E248" t="s">
        <v>11</v>
      </c>
      <c r="F248" t="s">
        <v>12</v>
      </c>
      <c r="G248">
        <v>12648.7034</v>
      </c>
      <c r="H248" t="str">
        <f t="shared" si="9"/>
        <v>60+</v>
      </c>
      <c r="I248" t="str">
        <f t="shared" si="10"/>
        <v>Obese</v>
      </c>
      <c r="J248" t="str">
        <f t="shared" si="11"/>
        <v>No</v>
      </c>
    </row>
    <row r="249" spans="1:10" x14ac:dyDescent="0.25">
      <c r="A249">
        <v>24</v>
      </c>
      <c r="B249" t="s">
        <v>10</v>
      </c>
      <c r="C249">
        <v>35.86</v>
      </c>
      <c r="D249">
        <v>0</v>
      </c>
      <c r="E249" t="s">
        <v>11</v>
      </c>
      <c r="F249" t="s">
        <v>12</v>
      </c>
      <c r="G249">
        <v>1986.9333999999999</v>
      </c>
      <c r="H249" t="str">
        <f t="shared" si="9"/>
        <v>18-29</v>
      </c>
      <c r="I249" t="str">
        <f t="shared" si="10"/>
        <v>Obese</v>
      </c>
      <c r="J249" t="str">
        <f t="shared" si="11"/>
        <v>No</v>
      </c>
    </row>
    <row r="250" spans="1:10" x14ac:dyDescent="0.25">
      <c r="A250">
        <v>19</v>
      </c>
      <c r="B250" t="s">
        <v>10</v>
      </c>
      <c r="C250">
        <v>20.9</v>
      </c>
      <c r="D250">
        <v>1</v>
      </c>
      <c r="E250" t="s">
        <v>11</v>
      </c>
      <c r="F250" t="s">
        <v>9</v>
      </c>
      <c r="G250">
        <v>1832.0940000000001</v>
      </c>
      <c r="H250" t="str">
        <f t="shared" si="9"/>
        <v>18-29</v>
      </c>
      <c r="I250" t="str">
        <f t="shared" si="10"/>
        <v>Normal</v>
      </c>
      <c r="J250" t="str">
        <f t="shared" si="11"/>
        <v>No</v>
      </c>
    </row>
    <row r="251" spans="1:10" x14ac:dyDescent="0.25">
      <c r="A251">
        <v>29</v>
      </c>
      <c r="B251" t="s">
        <v>10</v>
      </c>
      <c r="C251">
        <v>28.975000000000001</v>
      </c>
      <c r="D251">
        <v>1</v>
      </c>
      <c r="E251" t="s">
        <v>11</v>
      </c>
      <c r="F251" t="s">
        <v>14</v>
      </c>
      <c r="G251">
        <v>4040.55825</v>
      </c>
      <c r="H251" t="str">
        <f t="shared" si="9"/>
        <v>18-29</v>
      </c>
      <c r="I251" t="str">
        <f t="shared" si="10"/>
        <v>Overweight</v>
      </c>
      <c r="J251" t="str">
        <f t="shared" si="11"/>
        <v>No</v>
      </c>
    </row>
    <row r="252" spans="1:10" x14ac:dyDescent="0.25">
      <c r="A252">
        <v>18</v>
      </c>
      <c r="B252" t="s">
        <v>10</v>
      </c>
      <c r="C252">
        <v>17.29</v>
      </c>
      <c r="D252">
        <v>2</v>
      </c>
      <c r="E252" t="s">
        <v>8</v>
      </c>
      <c r="F252" t="s">
        <v>14</v>
      </c>
      <c r="G252">
        <v>12829.455099999999</v>
      </c>
      <c r="H252" t="str">
        <f t="shared" si="9"/>
        <v>18-29</v>
      </c>
      <c r="I252" t="str">
        <f t="shared" si="10"/>
        <v>Underweight</v>
      </c>
      <c r="J252" t="str">
        <f t="shared" si="11"/>
        <v>No</v>
      </c>
    </row>
    <row r="253" spans="1:10" x14ac:dyDescent="0.25">
      <c r="A253">
        <v>63</v>
      </c>
      <c r="B253" t="s">
        <v>7</v>
      </c>
      <c r="C253">
        <v>32.200000000000003</v>
      </c>
      <c r="D253">
        <v>2</v>
      </c>
      <c r="E253" t="s">
        <v>8</v>
      </c>
      <c r="F253" t="s">
        <v>9</v>
      </c>
      <c r="G253">
        <v>47305.305</v>
      </c>
      <c r="H253" t="str">
        <f t="shared" si="9"/>
        <v>60+</v>
      </c>
      <c r="I253" t="str">
        <f t="shared" si="10"/>
        <v>Obese</v>
      </c>
      <c r="J253" t="str">
        <f t="shared" si="11"/>
        <v>Yes</v>
      </c>
    </row>
    <row r="254" spans="1:10" x14ac:dyDescent="0.25">
      <c r="A254">
        <v>54</v>
      </c>
      <c r="B254" t="s">
        <v>10</v>
      </c>
      <c r="C254">
        <v>34.21</v>
      </c>
      <c r="D254">
        <v>2</v>
      </c>
      <c r="E254" t="s">
        <v>8</v>
      </c>
      <c r="F254" t="s">
        <v>12</v>
      </c>
      <c r="G254">
        <v>44260.749900000003</v>
      </c>
      <c r="H254" t="str">
        <f t="shared" si="9"/>
        <v>50-59</v>
      </c>
      <c r="I254" t="str">
        <f t="shared" si="10"/>
        <v>Obese</v>
      </c>
      <c r="J254" t="str">
        <f t="shared" si="11"/>
        <v>Yes</v>
      </c>
    </row>
    <row r="255" spans="1:10" x14ac:dyDescent="0.25">
      <c r="A255">
        <v>27</v>
      </c>
      <c r="B255" t="s">
        <v>10</v>
      </c>
      <c r="C255">
        <v>30.3</v>
      </c>
      <c r="D255">
        <v>3</v>
      </c>
      <c r="E255" t="s">
        <v>11</v>
      </c>
      <c r="F255" t="s">
        <v>9</v>
      </c>
      <c r="G255">
        <v>4260.7439999999997</v>
      </c>
      <c r="H255" t="str">
        <f t="shared" si="9"/>
        <v>18-29</v>
      </c>
      <c r="I255" t="str">
        <f t="shared" si="10"/>
        <v>Obese</v>
      </c>
      <c r="J255" t="str">
        <f t="shared" si="11"/>
        <v>No</v>
      </c>
    </row>
    <row r="256" spans="1:10" x14ac:dyDescent="0.25">
      <c r="A256">
        <v>50</v>
      </c>
      <c r="B256" t="s">
        <v>10</v>
      </c>
      <c r="C256">
        <v>31.824999999999999</v>
      </c>
      <c r="D256">
        <v>0</v>
      </c>
      <c r="E256" t="s">
        <v>8</v>
      </c>
      <c r="F256" t="s">
        <v>14</v>
      </c>
      <c r="G256">
        <v>41097.161749999999</v>
      </c>
      <c r="H256" t="str">
        <f t="shared" si="9"/>
        <v>50-59</v>
      </c>
      <c r="I256" t="str">
        <f t="shared" si="10"/>
        <v>Obese</v>
      </c>
      <c r="J256" t="str">
        <f t="shared" si="11"/>
        <v>Yes</v>
      </c>
    </row>
    <row r="257" spans="1:10" x14ac:dyDescent="0.25">
      <c r="A257">
        <v>55</v>
      </c>
      <c r="B257" t="s">
        <v>7</v>
      </c>
      <c r="C257">
        <v>25.364999999999998</v>
      </c>
      <c r="D257">
        <v>3</v>
      </c>
      <c r="E257" t="s">
        <v>11</v>
      </c>
      <c r="F257" t="s">
        <v>14</v>
      </c>
      <c r="G257">
        <v>13047.332350000001</v>
      </c>
      <c r="H257" t="str">
        <f t="shared" si="9"/>
        <v>50-59</v>
      </c>
      <c r="I257" t="str">
        <f t="shared" si="10"/>
        <v>Overweight</v>
      </c>
      <c r="J257" t="str">
        <f t="shared" si="11"/>
        <v>No</v>
      </c>
    </row>
    <row r="258" spans="1:10" x14ac:dyDescent="0.25">
      <c r="A258">
        <v>56</v>
      </c>
      <c r="B258" t="s">
        <v>10</v>
      </c>
      <c r="C258">
        <v>33.630000000000003</v>
      </c>
      <c r="D258">
        <v>0</v>
      </c>
      <c r="E258" t="s">
        <v>8</v>
      </c>
      <c r="F258" t="s">
        <v>13</v>
      </c>
      <c r="G258">
        <v>43921.183700000001</v>
      </c>
      <c r="H258" t="str">
        <f t="shared" ref="H258:H321" si="12">IF(A258&lt;30, "18-29", IF(A258&lt;40, "30-39", IF(A258&lt;50, "40-49", IF(A258&lt;60, "50-59", "60+"))))</f>
        <v>50-59</v>
      </c>
      <c r="I258" t="str">
        <f t="shared" ref="I258:I321" si="13">IF(C258&lt;18.5, "Underweight", IF(C258&lt;25, "Normal", IF(C258&lt;30,"Overweight","Obese")))</f>
        <v>Obese</v>
      </c>
      <c r="J258" t="str">
        <f t="shared" ref="J258:J321" si="14">IF(G258&gt;20000,"Yes","No")</f>
        <v>Yes</v>
      </c>
    </row>
    <row r="259" spans="1:10" x14ac:dyDescent="0.25">
      <c r="A259">
        <v>38</v>
      </c>
      <c r="B259" t="s">
        <v>7</v>
      </c>
      <c r="C259">
        <v>40.15</v>
      </c>
      <c r="D259">
        <v>0</v>
      </c>
      <c r="E259" t="s">
        <v>11</v>
      </c>
      <c r="F259" t="s">
        <v>12</v>
      </c>
      <c r="G259">
        <v>5400.9804999999997</v>
      </c>
      <c r="H259" t="str">
        <f t="shared" si="12"/>
        <v>30-39</v>
      </c>
      <c r="I259" t="str">
        <f t="shared" si="13"/>
        <v>Obese</v>
      </c>
      <c r="J259" t="str">
        <f t="shared" si="14"/>
        <v>No</v>
      </c>
    </row>
    <row r="260" spans="1:10" x14ac:dyDescent="0.25">
      <c r="A260">
        <v>51</v>
      </c>
      <c r="B260" t="s">
        <v>10</v>
      </c>
      <c r="C260">
        <v>24.414999999999999</v>
      </c>
      <c r="D260">
        <v>4</v>
      </c>
      <c r="E260" t="s">
        <v>11</v>
      </c>
      <c r="F260" t="s">
        <v>13</v>
      </c>
      <c r="G260">
        <v>11520.099850000001</v>
      </c>
      <c r="H260" t="str">
        <f t="shared" si="12"/>
        <v>50-59</v>
      </c>
      <c r="I260" t="str">
        <f t="shared" si="13"/>
        <v>Normal</v>
      </c>
      <c r="J260" t="str">
        <f t="shared" si="14"/>
        <v>No</v>
      </c>
    </row>
    <row r="261" spans="1:10" x14ac:dyDescent="0.25">
      <c r="A261">
        <v>19</v>
      </c>
      <c r="B261" t="s">
        <v>10</v>
      </c>
      <c r="C261">
        <v>31.92</v>
      </c>
      <c r="D261">
        <v>0</v>
      </c>
      <c r="E261" t="s">
        <v>8</v>
      </c>
      <c r="F261" t="s">
        <v>13</v>
      </c>
      <c r="G261">
        <v>33750.291799999999</v>
      </c>
      <c r="H261" t="str">
        <f t="shared" si="12"/>
        <v>18-29</v>
      </c>
      <c r="I261" t="str">
        <f t="shared" si="13"/>
        <v>Obese</v>
      </c>
      <c r="J261" t="str">
        <f t="shared" si="14"/>
        <v>Yes</v>
      </c>
    </row>
    <row r="262" spans="1:10" x14ac:dyDescent="0.25">
      <c r="A262">
        <v>58</v>
      </c>
      <c r="B262" t="s">
        <v>7</v>
      </c>
      <c r="C262">
        <v>25.2</v>
      </c>
      <c r="D262">
        <v>0</v>
      </c>
      <c r="E262" t="s">
        <v>11</v>
      </c>
      <c r="F262" t="s">
        <v>9</v>
      </c>
      <c r="G262">
        <v>11837.16</v>
      </c>
      <c r="H262" t="str">
        <f t="shared" si="12"/>
        <v>50-59</v>
      </c>
      <c r="I262" t="str">
        <f t="shared" si="13"/>
        <v>Overweight</v>
      </c>
      <c r="J262" t="str">
        <f t="shared" si="14"/>
        <v>No</v>
      </c>
    </row>
    <row r="263" spans="1:10" x14ac:dyDescent="0.25">
      <c r="A263">
        <v>20</v>
      </c>
      <c r="B263" t="s">
        <v>7</v>
      </c>
      <c r="C263">
        <v>26.84</v>
      </c>
      <c r="D263">
        <v>1</v>
      </c>
      <c r="E263" t="s">
        <v>8</v>
      </c>
      <c r="F263" t="s">
        <v>12</v>
      </c>
      <c r="G263">
        <v>17085.267599999999</v>
      </c>
      <c r="H263" t="str">
        <f t="shared" si="12"/>
        <v>18-29</v>
      </c>
      <c r="I263" t="str">
        <f t="shared" si="13"/>
        <v>Overweight</v>
      </c>
      <c r="J263" t="str">
        <f t="shared" si="14"/>
        <v>No</v>
      </c>
    </row>
    <row r="264" spans="1:10" x14ac:dyDescent="0.25">
      <c r="A264">
        <v>52</v>
      </c>
      <c r="B264" t="s">
        <v>10</v>
      </c>
      <c r="C264">
        <v>24.32</v>
      </c>
      <c r="D264">
        <v>3</v>
      </c>
      <c r="E264" t="s">
        <v>8</v>
      </c>
      <c r="F264" t="s">
        <v>14</v>
      </c>
      <c r="G264">
        <v>24869.836800000001</v>
      </c>
      <c r="H264" t="str">
        <f t="shared" si="12"/>
        <v>50-59</v>
      </c>
      <c r="I264" t="str">
        <f t="shared" si="13"/>
        <v>Normal</v>
      </c>
      <c r="J264" t="str">
        <f t="shared" si="14"/>
        <v>Yes</v>
      </c>
    </row>
    <row r="265" spans="1:10" x14ac:dyDescent="0.25">
      <c r="A265">
        <v>19</v>
      </c>
      <c r="B265" t="s">
        <v>10</v>
      </c>
      <c r="C265">
        <v>36.954999999999998</v>
      </c>
      <c r="D265">
        <v>0</v>
      </c>
      <c r="E265" t="s">
        <v>8</v>
      </c>
      <c r="F265" t="s">
        <v>13</v>
      </c>
      <c r="G265">
        <v>36219.405449999998</v>
      </c>
      <c r="H265" t="str">
        <f t="shared" si="12"/>
        <v>18-29</v>
      </c>
      <c r="I265" t="str">
        <f t="shared" si="13"/>
        <v>Obese</v>
      </c>
      <c r="J265" t="str">
        <f t="shared" si="14"/>
        <v>Yes</v>
      </c>
    </row>
    <row r="266" spans="1:10" x14ac:dyDescent="0.25">
      <c r="A266">
        <v>53</v>
      </c>
      <c r="B266" t="s">
        <v>7</v>
      </c>
      <c r="C266">
        <v>38.06</v>
      </c>
      <c r="D266">
        <v>3</v>
      </c>
      <c r="E266" t="s">
        <v>11</v>
      </c>
      <c r="F266" t="s">
        <v>12</v>
      </c>
      <c r="G266">
        <v>20462.997660000001</v>
      </c>
      <c r="H266" t="str">
        <f t="shared" si="12"/>
        <v>50-59</v>
      </c>
      <c r="I266" t="str">
        <f t="shared" si="13"/>
        <v>Obese</v>
      </c>
      <c r="J266" t="str">
        <f t="shared" si="14"/>
        <v>Yes</v>
      </c>
    </row>
    <row r="267" spans="1:10" x14ac:dyDescent="0.25">
      <c r="A267">
        <v>46</v>
      </c>
      <c r="B267" t="s">
        <v>10</v>
      </c>
      <c r="C267">
        <v>42.35</v>
      </c>
      <c r="D267">
        <v>3</v>
      </c>
      <c r="E267" t="s">
        <v>8</v>
      </c>
      <c r="F267" t="s">
        <v>12</v>
      </c>
      <c r="G267">
        <v>46151.124499999998</v>
      </c>
      <c r="H267" t="str">
        <f t="shared" si="12"/>
        <v>40-49</v>
      </c>
      <c r="I267" t="str">
        <f t="shared" si="13"/>
        <v>Obese</v>
      </c>
      <c r="J267" t="str">
        <f t="shared" si="14"/>
        <v>Yes</v>
      </c>
    </row>
    <row r="268" spans="1:10" x14ac:dyDescent="0.25">
      <c r="A268">
        <v>40</v>
      </c>
      <c r="B268" t="s">
        <v>10</v>
      </c>
      <c r="C268">
        <v>19.8</v>
      </c>
      <c r="D268">
        <v>1</v>
      </c>
      <c r="E268" t="s">
        <v>8</v>
      </c>
      <c r="F268" t="s">
        <v>12</v>
      </c>
      <c r="G268">
        <v>17179.522000000001</v>
      </c>
      <c r="H268" t="str">
        <f t="shared" si="12"/>
        <v>40-49</v>
      </c>
      <c r="I268" t="str">
        <f t="shared" si="13"/>
        <v>Normal</v>
      </c>
      <c r="J268" t="str">
        <f t="shared" si="14"/>
        <v>No</v>
      </c>
    </row>
    <row r="269" spans="1:10" x14ac:dyDescent="0.25">
      <c r="A269">
        <v>59</v>
      </c>
      <c r="B269" t="s">
        <v>7</v>
      </c>
      <c r="C269">
        <v>32.395000000000003</v>
      </c>
      <c r="D269">
        <v>3</v>
      </c>
      <c r="E269" t="s">
        <v>11</v>
      </c>
      <c r="F269" t="s">
        <v>14</v>
      </c>
      <c r="G269">
        <v>14590.63205</v>
      </c>
      <c r="H269" t="str">
        <f t="shared" si="12"/>
        <v>50-59</v>
      </c>
      <c r="I269" t="str">
        <f t="shared" si="13"/>
        <v>Obese</v>
      </c>
      <c r="J269" t="str">
        <f t="shared" si="14"/>
        <v>No</v>
      </c>
    </row>
    <row r="270" spans="1:10" x14ac:dyDescent="0.25">
      <c r="A270">
        <v>45</v>
      </c>
      <c r="B270" t="s">
        <v>10</v>
      </c>
      <c r="C270">
        <v>30.2</v>
      </c>
      <c r="D270">
        <v>1</v>
      </c>
      <c r="E270" t="s">
        <v>11</v>
      </c>
      <c r="F270" t="s">
        <v>9</v>
      </c>
      <c r="G270">
        <v>7441.0529999999999</v>
      </c>
      <c r="H270" t="str">
        <f t="shared" si="12"/>
        <v>40-49</v>
      </c>
      <c r="I270" t="str">
        <f t="shared" si="13"/>
        <v>Obese</v>
      </c>
      <c r="J270" t="str">
        <f t="shared" si="14"/>
        <v>No</v>
      </c>
    </row>
    <row r="271" spans="1:10" x14ac:dyDescent="0.25">
      <c r="A271">
        <v>49</v>
      </c>
      <c r="B271" t="s">
        <v>10</v>
      </c>
      <c r="C271">
        <v>25.84</v>
      </c>
      <c r="D271">
        <v>1</v>
      </c>
      <c r="E271" t="s">
        <v>11</v>
      </c>
      <c r="F271" t="s">
        <v>14</v>
      </c>
      <c r="G271">
        <v>9282.4806000000008</v>
      </c>
      <c r="H271" t="str">
        <f t="shared" si="12"/>
        <v>40-49</v>
      </c>
      <c r="I271" t="str">
        <f t="shared" si="13"/>
        <v>Overweight</v>
      </c>
      <c r="J271" t="str">
        <f t="shared" si="14"/>
        <v>No</v>
      </c>
    </row>
    <row r="272" spans="1:10" x14ac:dyDescent="0.25">
      <c r="A272">
        <v>18</v>
      </c>
      <c r="B272" t="s">
        <v>10</v>
      </c>
      <c r="C272">
        <v>29.37</v>
      </c>
      <c r="D272">
        <v>1</v>
      </c>
      <c r="E272" t="s">
        <v>11</v>
      </c>
      <c r="F272" t="s">
        <v>12</v>
      </c>
      <c r="G272">
        <v>1719.4363000000001</v>
      </c>
      <c r="H272" t="str">
        <f t="shared" si="12"/>
        <v>18-29</v>
      </c>
      <c r="I272" t="str">
        <f t="shared" si="13"/>
        <v>Overweight</v>
      </c>
      <c r="J272" t="str">
        <f t="shared" si="14"/>
        <v>No</v>
      </c>
    </row>
    <row r="273" spans="1:10" x14ac:dyDescent="0.25">
      <c r="A273">
        <v>50</v>
      </c>
      <c r="B273" t="s">
        <v>10</v>
      </c>
      <c r="C273">
        <v>34.200000000000003</v>
      </c>
      <c r="D273">
        <v>2</v>
      </c>
      <c r="E273" t="s">
        <v>8</v>
      </c>
      <c r="F273" t="s">
        <v>9</v>
      </c>
      <c r="G273">
        <v>42856.838000000003</v>
      </c>
      <c r="H273" t="str">
        <f t="shared" si="12"/>
        <v>50-59</v>
      </c>
      <c r="I273" t="str">
        <f t="shared" si="13"/>
        <v>Obese</v>
      </c>
      <c r="J273" t="str">
        <f t="shared" si="14"/>
        <v>Yes</v>
      </c>
    </row>
    <row r="274" spans="1:10" x14ac:dyDescent="0.25">
      <c r="A274">
        <v>41</v>
      </c>
      <c r="B274" t="s">
        <v>10</v>
      </c>
      <c r="C274">
        <v>37.049999999999997</v>
      </c>
      <c r="D274">
        <v>2</v>
      </c>
      <c r="E274" t="s">
        <v>11</v>
      </c>
      <c r="F274" t="s">
        <v>13</v>
      </c>
      <c r="G274">
        <v>7265.7025000000003</v>
      </c>
      <c r="H274" t="str">
        <f t="shared" si="12"/>
        <v>40-49</v>
      </c>
      <c r="I274" t="str">
        <f t="shared" si="13"/>
        <v>Obese</v>
      </c>
      <c r="J274" t="str">
        <f t="shared" si="14"/>
        <v>No</v>
      </c>
    </row>
    <row r="275" spans="1:10" x14ac:dyDescent="0.25">
      <c r="A275">
        <v>50</v>
      </c>
      <c r="B275" t="s">
        <v>10</v>
      </c>
      <c r="C275">
        <v>27.454999999999998</v>
      </c>
      <c r="D275">
        <v>1</v>
      </c>
      <c r="E275" t="s">
        <v>11</v>
      </c>
      <c r="F275" t="s">
        <v>14</v>
      </c>
      <c r="G275">
        <v>9617.6624499999998</v>
      </c>
      <c r="H275" t="str">
        <f t="shared" si="12"/>
        <v>50-59</v>
      </c>
      <c r="I275" t="str">
        <f t="shared" si="13"/>
        <v>Overweight</v>
      </c>
      <c r="J275" t="str">
        <f t="shared" si="14"/>
        <v>No</v>
      </c>
    </row>
    <row r="276" spans="1:10" x14ac:dyDescent="0.25">
      <c r="A276">
        <v>25</v>
      </c>
      <c r="B276" t="s">
        <v>10</v>
      </c>
      <c r="C276">
        <v>27.55</v>
      </c>
      <c r="D276">
        <v>0</v>
      </c>
      <c r="E276" t="s">
        <v>11</v>
      </c>
      <c r="F276" t="s">
        <v>13</v>
      </c>
      <c r="G276">
        <v>2523.1695</v>
      </c>
      <c r="H276" t="str">
        <f t="shared" si="12"/>
        <v>18-29</v>
      </c>
      <c r="I276" t="str">
        <f t="shared" si="13"/>
        <v>Overweight</v>
      </c>
      <c r="J276" t="str">
        <f t="shared" si="14"/>
        <v>No</v>
      </c>
    </row>
    <row r="277" spans="1:10" x14ac:dyDescent="0.25">
      <c r="A277">
        <v>47</v>
      </c>
      <c r="B277" t="s">
        <v>7</v>
      </c>
      <c r="C277">
        <v>26.6</v>
      </c>
      <c r="D277">
        <v>2</v>
      </c>
      <c r="E277" t="s">
        <v>11</v>
      </c>
      <c r="F277" t="s">
        <v>14</v>
      </c>
      <c r="G277">
        <v>9715.8410000000003</v>
      </c>
      <c r="H277" t="str">
        <f t="shared" si="12"/>
        <v>40-49</v>
      </c>
      <c r="I277" t="str">
        <f t="shared" si="13"/>
        <v>Overweight</v>
      </c>
      <c r="J277" t="str">
        <f t="shared" si="14"/>
        <v>No</v>
      </c>
    </row>
    <row r="278" spans="1:10" x14ac:dyDescent="0.25">
      <c r="A278">
        <v>19</v>
      </c>
      <c r="B278" t="s">
        <v>10</v>
      </c>
      <c r="C278">
        <v>20.614999999999998</v>
      </c>
      <c r="D278">
        <v>2</v>
      </c>
      <c r="E278" t="s">
        <v>11</v>
      </c>
      <c r="F278" t="s">
        <v>13</v>
      </c>
      <c r="G278">
        <v>2803.69785</v>
      </c>
      <c r="H278" t="str">
        <f t="shared" si="12"/>
        <v>18-29</v>
      </c>
      <c r="I278" t="str">
        <f t="shared" si="13"/>
        <v>Normal</v>
      </c>
      <c r="J278" t="str">
        <f t="shared" si="14"/>
        <v>No</v>
      </c>
    </row>
    <row r="279" spans="1:10" x14ac:dyDescent="0.25">
      <c r="A279">
        <v>22</v>
      </c>
      <c r="B279" t="s">
        <v>7</v>
      </c>
      <c r="C279">
        <v>24.3</v>
      </c>
      <c r="D279">
        <v>0</v>
      </c>
      <c r="E279" t="s">
        <v>11</v>
      </c>
      <c r="F279" t="s">
        <v>9</v>
      </c>
      <c r="G279">
        <v>2150.4690000000001</v>
      </c>
      <c r="H279" t="str">
        <f t="shared" si="12"/>
        <v>18-29</v>
      </c>
      <c r="I279" t="str">
        <f t="shared" si="13"/>
        <v>Normal</v>
      </c>
      <c r="J279" t="str">
        <f t="shared" si="14"/>
        <v>No</v>
      </c>
    </row>
    <row r="280" spans="1:10" x14ac:dyDescent="0.25">
      <c r="A280">
        <v>59</v>
      </c>
      <c r="B280" t="s">
        <v>10</v>
      </c>
      <c r="C280">
        <v>31.79</v>
      </c>
      <c r="D280">
        <v>2</v>
      </c>
      <c r="E280" t="s">
        <v>11</v>
      </c>
      <c r="F280" t="s">
        <v>12</v>
      </c>
      <c r="G280">
        <v>12928.7911</v>
      </c>
      <c r="H280" t="str">
        <f t="shared" si="12"/>
        <v>50-59</v>
      </c>
      <c r="I280" t="str">
        <f t="shared" si="13"/>
        <v>Obese</v>
      </c>
      <c r="J280" t="str">
        <f t="shared" si="14"/>
        <v>No</v>
      </c>
    </row>
    <row r="281" spans="1:10" x14ac:dyDescent="0.25">
      <c r="A281">
        <v>51</v>
      </c>
      <c r="B281" t="s">
        <v>7</v>
      </c>
      <c r="C281">
        <v>21.56</v>
      </c>
      <c r="D281">
        <v>1</v>
      </c>
      <c r="E281" t="s">
        <v>11</v>
      </c>
      <c r="F281" t="s">
        <v>12</v>
      </c>
      <c r="G281">
        <v>9855.1314000000002</v>
      </c>
      <c r="H281" t="str">
        <f t="shared" si="12"/>
        <v>50-59</v>
      </c>
      <c r="I281" t="str">
        <f t="shared" si="13"/>
        <v>Normal</v>
      </c>
      <c r="J281" t="str">
        <f t="shared" si="14"/>
        <v>No</v>
      </c>
    </row>
    <row r="282" spans="1:10" x14ac:dyDescent="0.25">
      <c r="A282">
        <v>40</v>
      </c>
      <c r="B282" t="s">
        <v>7</v>
      </c>
      <c r="C282">
        <v>28.12</v>
      </c>
      <c r="D282">
        <v>1</v>
      </c>
      <c r="E282" t="s">
        <v>8</v>
      </c>
      <c r="F282" t="s">
        <v>14</v>
      </c>
      <c r="G282">
        <v>22331.566800000001</v>
      </c>
      <c r="H282" t="str">
        <f t="shared" si="12"/>
        <v>40-49</v>
      </c>
      <c r="I282" t="str">
        <f t="shared" si="13"/>
        <v>Overweight</v>
      </c>
      <c r="J282" t="str">
        <f t="shared" si="14"/>
        <v>Yes</v>
      </c>
    </row>
    <row r="283" spans="1:10" x14ac:dyDescent="0.25">
      <c r="A283">
        <v>54</v>
      </c>
      <c r="B283" t="s">
        <v>10</v>
      </c>
      <c r="C283">
        <v>40.564999999999998</v>
      </c>
      <c r="D283">
        <v>3</v>
      </c>
      <c r="E283" t="s">
        <v>8</v>
      </c>
      <c r="F283" t="s">
        <v>14</v>
      </c>
      <c r="G283">
        <v>48549.178350000002</v>
      </c>
      <c r="H283" t="str">
        <f t="shared" si="12"/>
        <v>50-59</v>
      </c>
      <c r="I283" t="str">
        <f t="shared" si="13"/>
        <v>Obese</v>
      </c>
      <c r="J283" t="str">
        <f t="shared" si="14"/>
        <v>Yes</v>
      </c>
    </row>
    <row r="284" spans="1:10" x14ac:dyDescent="0.25">
      <c r="A284">
        <v>30</v>
      </c>
      <c r="B284" t="s">
        <v>10</v>
      </c>
      <c r="C284">
        <v>27.645</v>
      </c>
      <c r="D284">
        <v>1</v>
      </c>
      <c r="E284" t="s">
        <v>11</v>
      </c>
      <c r="F284" t="s">
        <v>14</v>
      </c>
      <c r="G284">
        <v>4237.12655</v>
      </c>
      <c r="H284" t="str">
        <f t="shared" si="12"/>
        <v>30-39</v>
      </c>
      <c r="I284" t="str">
        <f t="shared" si="13"/>
        <v>Overweight</v>
      </c>
      <c r="J284" t="str">
        <f t="shared" si="14"/>
        <v>No</v>
      </c>
    </row>
    <row r="285" spans="1:10" x14ac:dyDescent="0.25">
      <c r="A285">
        <v>55</v>
      </c>
      <c r="B285" t="s">
        <v>7</v>
      </c>
      <c r="C285">
        <v>32.395000000000003</v>
      </c>
      <c r="D285">
        <v>1</v>
      </c>
      <c r="E285" t="s">
        <v>11</v>
      </c>
      <c r="F285" t="s">
        <v>14</v>
      </c>
      <c r="G285">
        <v>11879.10405</v>
      </c>
      <c r="H285" t="str">
        <f t="shared" si="12"/>
        <v>50-59</v>
      </c>
      <c r="I285" t="str">
        <f t="shared" si="13"/>
        <v>Obese</v>
      </c>
      <c r="J285" t="str">
        <f t="shared" si="14"/>
        <v>No</v>
      </c>
    </row>
    <row r="286" spans="1:10" x14ac:dyDescent="0.25">
      <c r="A286">
        <v>52</v>
      </c>
      <c r="B286" t="s">
        <v>7</v>
      </c>
      <c r="C286">
        <v>31.2</v>
      </c>
      <c r="D286">
        <v>0</v>
      </c>
      <c r="E286" t="s">
        <v>11</v>
      </c>
      <c r="F286" t="s">
        <v>9</v>
      </c>
      <c r="G286">
        <v>9625.92</v>
      </c>
      <c r="H286" t="str">
        <f t="shared" si="12"/>
        <v>50-59</v>
      </c>
      <c r="I286" t="str">
        <f t="shared" si="13"/>
        <v>Obese</v>
      </c>
      <c r="J286" t="str">
        <f t="shared" si="14"/>
        <v>No</v>
      </c>
    </row>
    <row r="287" spans="1:10" x14ac:dyDescent="0.25">
      <c r="A287">
        <v>46</v>
      </c>
      <c r="B287" t="s">
        <v>10</v>
      </c>
      <c r="C287">
        <v>26.62</v>
      </c>
      <c r="D287">
        <v>1</v>
      </c>
      <c r="E287" t="s">
        <v>11</v>
      </c>
      <c r="F287" t="s">
        <v>12</v>
      </c>
      <c r="G287">
        <v>7742.1098000000002</v>
      </c>
      <c r="H287" t="str">
        <f t="shared" si="12"/>
        <v>40-49</v>
      </c>
      <c r="I287" t="str">
        <f t="shared" si="13"/>
        <v>Overweight</v>
      </c>
      <c r="J287" t="str">
        <f t="shared" si="14"/>
        <v>No</v>
      </c>
    </row>
    <row r="288" spans="1:10" x14ac:dyDescent="0.25">
      <c r="A288">
        <v>46</v>
      </c>
      <c r="B288" t="s">
        <v>7</v>
      </c>
      <c r="C288">
        <v>48.07</v>
      </c>
      <c r="D288">
        <v>2</v>
      </c>
      <c r="E288" t="s">
        <v>11</v>
      </c>
      <c r="F288" t="s">
        <v>14</v>
      </c>
      <c r="G288">
        <v>9432.9253000000008</v>
      </c>
      <c r="H288" t="str">
        <f t="shared" si="12"/>
        <v>40-49</v>
      </c>
      <c r="I288" t="str">
        <f t="shared" si="13"/>
        <v>Obese</v>
      </c>
      <c r="J288" t="str">
        <f t="shared" si="14"/>
        <v>No</v>
      </c>
    </row>
    <row r="289" spans="1:10" x14ac:dyDescent="0.25">
      <c r="A289">
        <v>63</v>
      </c>
      <c r="B289" t="s">
        <v>7</v>
      </c>
      <c r="C289">
        <v>26.22</v>
      </c>
      <c r="D289">
        <v>0</v>
      </c>
      <c r="E289" t="s">
        <v>11</v>
      </c>
      <c r="F289" t="s">
        <v>13</v>
      </c>
      <c r="G289">
        <v>14256.192800000001</v>
      </c>
      <c r="H289" t="str">
        <f t="shared" si="12"/>
        <v>60+</v>
      </c>
      <c r="I289" t="str">
        <f t="shared" si="13"/>
        <v>Overweight</v>
      </c>
      <c r="J289" t="str">
        <f t="shared" si="14"/>
        <v>No</v>
      </c>
    </row>
    <row r="290" spans="1:10" x14ac:dyDescent="0.25">
      <c r="A290">
        <v>59</v>
      </c>
      <c r="B290" t="s">
        <v>7</v>
      </c>
      <c r="C290">
        <v>36.765000000000001</v>
      </c>
      <c r="D290">
        <v>1</v>
      </c>
      <c r="E290" t="s">
        <v>8</v>
      </c>
      <c r="F290" t="s">
        <v>14</v>
      </c>
      <c r="G290">
        <v>47896.79135</v>
      </c>
      <c r="H290" t="str">
        <f t="shared" si="12"/>
        <v>50-59</v>
      </c>
      <c r="I290" t="str">
        <f t="shared" si="13"/>
        <v>Obese</v>
      </c>
      <c r="J290" t="str">
        <f t="shared" si="14"/>
        <v>Yes</v>
      </c>
    </row>
    <row r="291" spans="1:10" x14ac:dyDescent="0.25">
      <c r="A291">
        <v>52</v>
      </c>
      <c r="B291" t="s">
        <v>10</v>
      </c>
      <c r="C291">
        <v>26.4</v>
      </c>
      <c r="D291">
        <v>3</v>
      </c>
      <c r="E291" t="s">
        <v>11</v>
      </c>
      <c r="F291" t="s">
        <v>12</v>
      </c>
      <c r="G291">
        <v>25992.821039999999</v>
      </c>
      <c r="H291" t="str">
        <f t="shared" si="12"/>
        <v>50-59</v>
      </c>
      <c r="I291" t="str">
        <f t="shared" si="13"/>
        <v>Overweight</v>
      </c>
      <c r="J291" t="str">
        <f t="shared" si="14"/>
        <v>Yes</v>
      </c>
    </row>
    <row r="292" spans="1:10" x14ac:dyDescent="0.25">
      <c r="A292">
        <v>28</v>
      </c>
      <c r="B292" t="s">
        <v>7</v>
      </c>
      <c r="C292">
        <v>33.4</v>
      </c>
      <c r="D292">
        <v>0</v>
      </c>
      <c r="E292" t="s">
        <v>11</v>
      </c>
      <c r="F292" t="s">
        <v>9</v>
      </c>
      <c r="G292">
        <v>3172.018</v>
      </c>
      <c r="H292" t="str">
        <f t="shared" si="12"/>
        <v>18-29</v>
      </c>
      <c r="I292" t="str">
        <f t="shared" si="13"/>
        <v>Obese</v>
      </c>
      <c r="J292" t="str">
        <f t="shared" si="14"/>
        <v>No</v>
      </c>
    </row>
    <row r="293" spans="1:10" x14ac:dyDescent="0.25">
      <c r="A293">
        <v>29</v>
      </c>
      <c r="B293" t="s">
        <v>10</v>
      </c>
      <c r="C293">
        <v>29.64</v>
      </c>
      <c r="D293">
        <v>1</v>
      </c>
      <c r="E293" t="s">
        <v>11</v>
      </c>
      <c r="F293" t="s">
        <v>14</v>
      </c>
      <c r="G293">
        <v>20277.807509999999</v>
      </c>
      <c r="H293" t="str">
        <f t="shared" si="12"/>
        <v>18-29</v>
      </c>
      <c r="I293" t="str">
        <f t="shared" si="13"/>
        <v>Overweight</v>
      </c>
      <c r="J293" t="str">
        <f t="shared" si="14"/>
        <v>Yes</v>
      </c>
    </row>
    <row r="294" spans="1:10" x14ac:dyDescent="0.25">
      <c r="A294">
        <v>25</v>
      </c>
      <c r="B294" t="s">
        <v>10</v>
      </c>
      <c r="C294">
        <v>45.54</v>
      </c>
      <c r="D294">
        <v>2</v>
      </c>
      <c r="E294" t="s">
        <v>8</v>
      </c>
      <c r="F294" t="s">
        <v>12</v>
      </c>
      <c r="G294">
        <v>42112.2356</v>
      </c>
      <c r="H294" t="str">
        <f t="shared" si="12"/>
        <v>18-29</v>
      </c>
      <c r="I294" t="str">
        <f t="shared" si="13"/>
        <v>Obese</v>
      </c>
      <c r="J294" t="str">
        <f t="shared" si="14"/>
        <v>Yes</v>
      </c>
    </row>
    <row r="295" spans="1:10" x14ac:dyDescent="0.25">
      <c r="A295">
        <v>22</v>
      </c>
      <c r="B295" t="s">
        <v>7</v>
      </c>
      <c r="C295">
        <v>28.82</v>
      </c>
      <c r="D295">
        <v>0</v>
      </c>
      <c r="E295" t="s">
        <v>11</v>
      </c>
      <c r="F295" t="s">
        <v>12</v>
      </c>
      <c r="G295">
        <v>2156.7518</v>
      </c>
      <c r="H295" t="str">
        <f t="shared" si="12"/>
        <v>18-29</v>
      </c>
      <c r="I295" t="str">
        <f t="shared" si="13"/>
        <v>Overweight</v>
      </c>
      <c r="J295" t="str">
        <f t="shared" si="14"/>
        <v>No</v>
      </c>
    </row>
    <row r="296" spans="1:10" x14ac:dyDescent="0.25">
      <c r="A296">
        <v>25</v>
      </c>
      <c r="B296" t="s">
        <v>10</v>
      </c>
      <c r="C296">
        <v>26.8</v>
      </c>
      <c r="D296">
        <v>3</v>
      </c>
      <c r="E296" t="s">
        <v>11</v>
      </c>
      <c r="F296" t="s">
        <v>9</v>
      </c>
      <c r="G296">
        <v>3906.127</v>
      </c>
      <c r="H296" t="str">
        <f t="shared" si="12"/>
        <v>18-29</v>
      </c>
      <c r="I296" t="str">
        <f t="shared" si="13"/>
        <v>Overweight</v>
      </c>
      <c r="J296" t="str">
        <f t="shared" si="14"/>
        <v>No</v>
      </c>
    </row>
    <row r="297" spans="1:10" x14ac:dyDescent="0.25">
      <c r="A297">
        <v>18</v>
      </c>
      <c r="B297" t="s">
        <v>10</v>
      </c>
      <c r="C297">
        <v>22.99</v>
      </c>
      <c r="D297">
        <v>0</v>
      </c>
      <c r="E297" t="s">
        <v>11</v>
      </c>
      <c r="F297" t="s">
        <v>14</v>
      </c>
      <c r="G297">
        <v>1704.5681</v>
      </c>
      <c r="H297" t="str">
        <f t="shared" si="12"/>
        <v>18-29</v>
      </c>
      <c r="I297" t="str">
        <f t="shared" si="13"/>
        <v>Normal</v>
      </c>
      <c r="J297" t="str">
        <f t="shared" si="14"/>
        <v>No</v>
      </c>
    </row>
    <row r="298" spans="1:10" x14ac:dyDescent="0.25">
      <c r="A298">
        <v>19</v>
      </c>
      <c r="B298" t="s">
        <v>10</v>
      </c>
      <c r="C298">
        <v>27.7</v>
      </c>
      <c r="D298">
        <v>0</v>
      </c>
      <c r="E298" t="s">
        <v>8</v>
      </c>
      <c r="F298" t="s">
        <v>9</v>
      </c>
      <c r="G298">
        <v>16297.846</v>
      </c>
      <c r="H298" t="str">
        <f t="shared" si="12"/>
        <v>18-29</v>
      </c>
      <c r="I298" t="str">
        <f t="shared" si="13"/>
        <v>Overweight</v>
      </c>
      <c r="J298" t="str">
        <f t="shared" si="14"/>
        <v>No</v>
      </c>
    </row>
    <row r="299" spans="1:10" x14ac:dyDescent="0.25">
      <c r="A299">
        <v>47</v>
      </c>
      <c r="B299" t="s">
        <v>10</v>
      </c>
      <c r="C299">
        <v>25.41</v>
      </c>
      <c r="D299">
        <v>1</v>
      </c>
      <c r="E299" t="s">
        <v>8</v>
      </c>
      <c r="F299" t="s">
        <v>12</v>
      </c>
      <c r="G299">
        <v>21978.676899999999</v>
      </c>
      <c r="H299" t="str">
        <f t="shared" si="12"/>
        <v>40-49</v>
      </c>
      <c r="I299" t="str">
        <f t="shared" si="13"/>
        <v>Overweight</v>
      </c>
      <c r="J299" t="str">
        <f t="shared" si="14"/>
        <v>Yes</v>
      </c>
    </row>
    <row r="300" spans="1:10" x14ac:dyDescent="0.25">
      <c r="A300">
        <v>31</v>
      </c>
      <c r="B300" t="s">
        <v>10</v>
      </c>
      <c r="C300">
        <v>34.39</v>
      </c>
      <c r="D300">
        <v>3</v>
      </c>
      <c r="E300" t="s">
        <v>8</v>
      </c>
      <c r="F300" t="s">
        <v>13</v>
      </c>
      <c r="G300">
        <v>38746.355100000001</v>
      </c>
      <c r="H300" t="str">
        <f t="shared" si="12"/>
        <v>30-39</v>
      </c>
      <c r="I300" t="str">
        <f t="shared" si="13"/>
        <v>Obese</v>
      </c>
      <c r="J300" t="str">
        <f t="shared" si="14"/>
        <v>Yes</v>
      </c>
    </row>
    <row r="301" spans="1:10" x14ac:dyDescent="0.25">
      <c r="A301">
        <v>48</v>
      </c>
      <c r="B301" t="s">
        <v>7</v>
      </c>
      <c r="C301">
        <v>28.88</v>
      </c>
      <c r="D301">
        <v>1</v>
      </c>
      <c r="E301" t="s">
        <v>11</v>
      </c>
      <c r="F301" t="s">
        <v>13</v>
      </c>
      <c r="G301">
        <v>9249.4951999999994</v>
      </c>
      <c r="H301" t="str">
        <f t="shared" si="12"/>
        <v>40-49</v>
      </c>
      <c r="I301" t="str">
        <f t="shared" si="13"/>
        <v>Overweight</v>
      </c>
      <c r="J301" t="str">
        <f t="shared" si="14"/>
        <v>No</v>
      </c>
    </row>
    <row r="302" spans="1:10" x14ac:dyDescent="0.25">
      <c r="A302">
        <v>36</v>
      </c>
      <c r="B302" t="s">
        <v>10</v>
      </c>
      <c r="C302">
        <v>27.55</v>
      </c>
      <c r="D302">
        <v>3</v>
      </c>
      <c r="E302" t="s">
        <v>11</v>
      </c>
      <c r="F302" t="s">
        <v>14</v>
      </c>
      <c r="G302">
        <v>6746.7425000000003</v>
      </c>
      <c r="H302" t="str">
        <f t="shared" si="12"/>
        <v>30-39</v>
      </c>
      <c r="I302" t="str">
        <f t="shared" si="13"/>
        <v>Overweight</v>
      </c>
      <c r="J302" t="str">
        <f t="shared" si="14"/>
        <v>No</v>
      </c>
    </row>
    <row r="303" spans="1:10" x14ac:dyDescent="0.25">
      <c r="A303">
        <v>53</v>
      </c>
      <c r="B303" t="s">
        <v>7</v>
      </c>
      <c r="C303">
        <v>22.61</v>
      </c>
      <c r="D303">
        <v>3</v>
      </c>
      <c r="E303" t="s">
        <v>8</v>
      </c>
      <c r="F303" t="s">
        <v>14</v>
      </c>
      <c r="G303">
        <v>24873.384900000001</v>
      </c>
      <c r="H303" t="str">
        <f t="shared" si="12"/>
        <v>50-59</v>
      </c>
      <c r="I303" t="str">
        <f t="shared" si="13"/>
        <v>Normal</v>
      </c>
      <c r="J303" t="str">
        <f t="shared" si="14"/>
        <v>Yes</v>
      </c>
    </row>
    <row r="304" spans="1:10" x14ac:dyDescent="0.25">
      <c r="A304">
        <v>56</v>
      </c>
      <c r="B304" t="s">
        <v>7</v>
      </c>
      <c r="C304">
        <v>37.51</v>
      </c>
      <c r="D304">
        <v>2</v>
      </c>
      <c r="E304" t="s">
        <v>11</v>
      </c>
      <c r="F304" t="s">
        <v>12</v>
      </c>
      <c r="G304">
        <v>12265.5069</v>
      </c>
      <c r="H304" t="str">
        <f t="shared" si="12"/>
        <v>50-59</v>
      </c>
      <c r="I304" t="str">
        <f t="shared" si="13"/>
        <v>Obese</v>
      </c>
      <c r="J304" t="str">
        <f t="shared" si="14"/>
        <v>No</v>
      </c>
    </row>
    <row r="305" spans="1:10" x14ac:dyDescent="0.25">
      <c r="A305">
        <v>28</v>
      </c>
      <c r="B305" t="s">
        <v>7</v>
      </c>
      <c r="C305">
        <v>33</v>
      </c>
      <c r="D305">
        <v>2</v>
      </c>
      <c r="E305" t="s">
        <v>11</v>
      </c>
      <c r="F305" t="s">
        <v>12</v>
      </c>
      <c r="G305">
        <v>4349.4620000000004</v>
      </c>
      <c r="H305" t="str">
        <f t="shared" si="12"/>
        <v>18-29</v>
      </c>
      <c r="I305" t="str">
        <f t="shared" si="13"/>
        <v>Obese</v>
      </c>
      <c r="J305" t="str">
        <f t="shared" si="14"/>
        <v>No</v>
      </c>
    </row>
    <row r="306" spans="1:10" x14ac:dyDescent="0.25">
      <c r="A306">
        <v>57</v>
      </c>
      <c r="B306" t="s">
        <v>7</v>
      </c>
      <c r="C306">
        <v>38</v>
      </c>
      <c r="D306">
        <v>2</v>
      </c>
      <c r="E306" t="s">
        <v>11</v>
      </c>
      <c r="F306" t="s">
        <v>9</v>
      </c>
      <c r="G306">
        <v>12646.207</v>
      </c>
      <c r="H306" t="str">
        <f t="shared" si="12"/>
        <v>50-59</v>
      </c>
      <c r="I306" t="str">
        <f t="shared" si="13"/>
        <v>Obese</v>
      </c>
      <c r="J306" t="str">
        <f t="shared" si="14"/>
        <v>No</v>
      </c>
    </row>
    <row r="307" spans="1:10" x14ac:dyDescent="0.25">
      <c r="A307">
        <v>29</v>
      </c>
      <c r="B307" t="s">
        <v>10</v>
      </c>
      <c r="C307">
        <v>33.344999999999999</v>
      </c>
      <c r="D307">
        <v>2</v>
      </c>
      <c r="E307" t="s">
        <v>11</v>
      </c>
      <c r="F307" t="s">
        <v>13</v>
      </c>
      <c r="G307">
        <v>19442.353500000001</v>
      </c>
      <c r="H307" t="str">
        <f t="shared" si="12"/>
        <v>18-29</v>
      </c>
      <c r="I307" t="str">
        <f t="shared" si="13"/>
        <v>Obese</v>
      </c>
      <c r="J307" t="str">
        <f t="shared" si="14"/>
        <v>No</v>
      </c>
    </row>
    <row r="308" spans="1:10" x14ac:dyDescent="0.25">
      <c r="A308">
        <v>28</v>
      </c>
      <c r="B308" t="s">
        <v>7</v>
      </c>
      <c r="C308">
        <v>27.5</v>
      </c>
      <c r="D308">
        <v>2</v>
      </c>
      <c r="E308" t="s">
        <v>11</v>
      </c>
      <c r="F308" t="s">
        <v>9</v>
      </c>
      <c r="G308">
        <v>20177.671129999999</v>
      </c>
      <c r="H308" t="str">
        <f t="shared" si="12"/>
        <v>18-29</v>
      </c>
      <c r="I308" t="str">
        <f t="shared" si="13"/>
        <v>Overweight</v>
      </c>
      <c r="J308" t="str">
        <f t="shared" si="14"/>
        <v>Yes</v>
      </c>
    </row>
    <row r="309" spans="1:10" x14ac:dyDescent="0.25">
      <c r="A309">
        <v>30</v>
      </c>
      <c r="B309" t="s">
        <v>7</v>
      </c>
      <c r="C309">
        <v>33.33</v>
      </c>
      <c r="D309">
        <v>1</v>
      </c>
      <c r="E309" t="s">
        <v>11</v>
      </c>
      <c r="F309" t="s">
        <v>12</v>
      </c>
      <c r="G309">
        <v>4151.0286999999998</v>
      </c>
      <c r="H309" t="str">
        <f t="shared" si="12"/>
        <v>30-39</v>
      </c>
      <c r="I309" t="str">
        <f t="shared" si="13"/>
        <v>Obese</v>
      </c>
      <c r="J309" t="str">
        <f t="shared" si="14"/>
        <v>No</v>
      </c>
    </row>
    <row r="310" spans="1:10" x14ac:dyDescent="0.25">
      <c r="A310">
        <v>58</v>
      </c>
      <c r="B310" t="s">
        <v>10</v>
      </c>
      <c r="C310">
        <v>34.865000000000002</v>
      </c>
      <c r="D310">
        <v>0</v>
      </c>
      <c r="E310" t="s">
        <v>11</v>
      </c>
      <c r="F310" t="s">
        <v>14</v>
      </c>
      <c r="G310">
        <v>11944.594349999999</v>
      </c>
      <c r="H310" t="str">
        <f t="shared" si="12"/>
        <v>50-59</v>
      </c>
      <c r="I310" t="str">
        <f t="shared" si="13"/>
        <v>Obese</v>
      </c>
      <c r="J310" t="str">
        <f t="shared" si="14"/>
        <v>No</v>
      </c>
    </row>
    <row r="311" spans="1:10" x14ac:dyDescent="0.25">
      <c r="A311">
        <v>41</v>
      </c>
      <c r="B311" t="s">
        <v>7</v>
      </c>
      <c r="C311">
        <v>33.06</v>
      </c>
      <c r="D311">
        <v>2</v>
      </c>
      <c r="E311" t="s">
        <v>11</v>
      </c>
      <c r="F311" t="s">
        <v>13</v>
      </c>
      <c r="G311">
        <v>7749.1563999999998</v>
      </c>
      <c r="H311" t="str">
        <f t="shared" si="12"/>
        <v>40-49</v>
      </c>
      <c r="I311" t="str">
        <f t="shared" si="13"/>
        <v>Obese</v>
      </c>
      <c r="J311" t="str">
        <f t="shared" si="14"/>
        <v>No</v>
      </c>
    </row>
    <row r="312" spans="1:10" x14ac:dyDescent="0.25">
      <c r="A312">
        <v>50</v>
      </c>
      <c r="B312" t="s">
        <v>10</v>
      </c>
      <c r="C312">
        <v>26.6</v>
      </c>
      <c r="D312">
        <v>0</v>
      </c>
      <c r="E312" t="s">
        <v>11</v>
      </c>
      <c r="F312" t="s">
        <v>9</v>
      </c>
      <c r="G312">
        <v>8444.4740000000002</v>
      </c>
      <c r="H312" t="str">
        <f t="shared" si="12"/>
        <v>50-59</v>
      </c>
      <c r="I312" t="str">
        <f t="shared" si="13"/>
        <v>Overweight</v>
      </c>
      <c r="J312" t="str">
        <f t="shared" si="14"/>
        <v>No</v>
      </c>
    </row>
    <row r="313" spans="1:10" x14ac:dyDescent="0.25">
      <c r="A313">
        <v>19</v>
      </c>
      <c r="B313" t="s">
        <v>7</v>
      </c>
      <c r="C313">
        <v>24.7</v>
      </c>
      <c r="D313">
        <v>0</v>
      </c>
      <c r="E313" t="s">
        <v>11</v>
      </c>
      <c r="F313" t="s">
        <v>9</v>
      </c>
      <c r="G313">
        <v>1737.376</v>
      </c>
      <c r="H313" t="str">
        <f t="shared" si="12"/>
        <v>18-29</v>
      </c>
      <c r="I313" t="str">
        <f t="shared" si="13"/>
        <v>Normal</v>
      </c>
      <c r="J313" t="str">
        <f t="shared" si="14"/>
        <v>No</v>
      </c>
    </row>
    <row r="314" spans="1:10" x14ac:dyDescent="0.25">
      <c r="A314">
        <v>43</v>
      </c>
      <c r="B314" t="s">
        <v>10</v>
      </c>
      <c r="C314">
        <v>35.97</v>
      </c>
      <c r="D314">
        <v>3</v>
      </c>
      <c r="E314" t="s">
        <v>8</v>
      </c>
      <c r="F314" t="s">
        <v>12</v>
      </c>
      <c r="G314">
        <v>42124.515299999999</v>
      </c>
      <c r="H314" t="str">
        <f t="shared" si="12"/>
        <v>40-49</v>
      </c>
      <c r="I314" t="str">
        <f t="shared" si="13"/>
        <v>Obese</v>
      </c>
      <c r="J314" t="str">
        <f t="shared" si="14"/>
        <v>Yes</v>
      </c>
    </row>
    <row r="315" spans="1:10" x14ac:dyDescent="0.25">
      <c r="A315">
        <v>49</v>
      </c>
      <c r="B315" t="s">
        <v>10</v>
      </c>
      <c r="C315">
        <v>35.86</v>
      </c>
      <c r="D315">
        <v>0</v>
      </c>
      <c r="E315" t="s">
        <v>11</v>
      </c>
      <c r="F315" t="s">
        <v>12</v>
      </c>
      <c r="G315">
        <v>8124.4084000000003</v>
      </c>
      <c r="H315" t="str">
        <f t="shared" si="12"/>
        <v>40-49</v>
      </c>
      <c r="I315" t="str">
        <f t="shared" si="13"/>
        <v>Obese</v>
      </c>
      <c r="J315" t="str">
        <f t="shared" si="14"/>
        <v>No</v>
      </c>
    </row>
    <row r="316" spans="1:10" x14ac:dyDescent="0.25">
      <c r="A316">
        <v>27</v>
      </c>
      <c r="B316" t="s">
        <v>7</v>
      </c>
      <c r="C316">
        <v>31.4</v>
      </c>
      <c r="D316">
        <v>0</v>
      </c>
      <c r="E316" t="s">
        <v>8</v>
      </c>
      <c r="F316" t="s">
        <v>9</v>
      </c>
      <c r="G316">
        <v>34838.873</v>
      </c>
      <c r="H316" t="str">
        <f t="shared" si="12"/>
        <v>18-29</v>
      </c>
      <c r="I316" t="str">
        <f t="shared" si="13"/>
        <v>Obese</v>
      </c>
      <c r="J316" t="str">
        <f t="shared" si="14"/>
        <v>Yes</v>
      </c>
    </row>
    <row r="317" spans="1:10" x14ac:dyDescent="0.25">
      <c r="A317">
        <v>52</v>
      </c>
      <c r="B317" t="s">
        <v>10</v>
      </c>
      <c r="C317">
        <v>33.25</v>
      </c>
      <c r="D317">
        <v>0</v>
      </c>
      <c r="E317" t="s">
        <v>11</v>
      </c>
      <c r="F317" t="s">
        <v>14</v>
      </c>
      <c r="G317">
        <v>9722.7695000000003</v>
      </c>
      <c r="H317" t="str">
        <f t="shared" si="12"/>
        <v>50-59</v>
      </c>
      <c r="I317" t="str">
        <f t="shared" si="13"/>
        <v>Obese</v>
      </c>
      <c r="J317" t="str">
        <f t="shared" si="14"/>
        <v>No</v>
      </c>
    </row>
    <row r="318" spans="1:10" x14ac:dyDescent="0.25">
      <c r="A318">
        <v>50</v>
      </c>
      <c r="B318" t="s">
        <v>10</v>
      </c>
      <c r="C318">
        <v>32.204999999999998</v>
      </c>
      <c r="D318">
        <v>0</v>
      </c>
      <c r="E318" t="s">
        <v>11</v>
      </c>
      <c r="F318" t="s">
        <v>13</v>
      </c>
      <c r="G318">
        <v>8835.2649500000007</v>
      </c>
      <c r="H318" t="str">
        <f t="shared" si="12"/>
        <v>50-59</v>
      </c>
      <c r="I318" t="str">
        <f t="shared" si="13"/>
        <v>Obese</v>
      </c>
      <c r="J318" t="str">
        <f t="shared" si="14"/>
        <v>No</v>
      </c>
    </row>
    <row r="319" spans="1:10" x14ac:dyDescent="0.25">
      <c r="A319">
        <v>54</v>
      </c>
      <c r="B319" t="s">
        <v>10</v>
      </c>
      <c r="C319">
        <v>32.774999999999999</v>
      </c>
      <c r="D319">
        <v>0</v>
      </c>
      <c r="E319" t="s">
        <v>11</v>
      </c>
      <c r="F319" t="s">
        <v>14</v>
      </c>
      <c r="G319">
        <v>10435.06525</v>
      </c>
      <c r="H319" t="str">
        <f t="shared" si="12"/>
        <v>50-59</v>
      </c>
      <c r="I319" t="str">
        <f t="shared" si="13"/>
        <v>Obese</v>
      </c>
      <c r="J319" t="str">
        <f t="shared" si="14"/>
        <v>No</v>
      </c>
    </row>
    <row r="320" spans="1:10" x14ac:dyDescent="0.25">
      <c r="A320">
        <v>44</v>
      </c>
      <c r="B320" t="s">
        <v>7</v>
      </c>
      <c r="C320">
        <v>27.645</v>
      </c>
      <c r="D320">
        <v>0</v>
      </c>
      <c r="E320" t="s">
        <v>11</v>
      </c>
      <c r="F320" t="s">
        <v>13</v>
      </c>
      <c r="G320">
        <v>7421.1945500000002</v>
      </c>
      <c r="H320" t="str">
        <f t="shared" si="12"/>
        <v>40-49</v>
      </c>
      <c r="I320" t="str">
        <f t="shared" si="13"/>
        <v>Overweight</v>
      </c>
      <c r="J320" t="str">
        <f t="shared" si="14"/>
        <v>No</v>
      </c>
    </row>
    <row r="321" spans="1:10" x14ac:dyDescent="0.25">
      <c r="A321">
        <v>32</v>
      </c>
      <c r="B321" t="s">
        <v>10</v>
      </c>
      <c r="C321">
        <v>37.335000000000001</v>
      </c>
      <c r="D321">
        <v>1</v>
      </c>
      <c r="E321" t="s">
        <v>11</v>
      </c>
      <c r="F321" t="s">
        <v>14</v>
      </c>
      <c r="G321">
        <v>4667.6076499999999</v>
      </c>
      <c r="H321" t="str">
        <f t="shared" si="12"/>
        <v>30-39</v>
      </c>
      <c r="I321" t="str">
        <f t="shared" si="13"/>
        <v>Obese</v>
      </c>
      <c r="J321" t="str">
        <f t="shared" si="14"/>
        <v>No</v>
      </c>
    </row>
    <row r="322" spans="1:10" x14ac:dyDescent="0.25">
      <c r="A322">
        <v>34</v>
      </c>
      <c r="B322" t="s">
        <v>10</v>
      </c>
      <c r="C322">
        <v>25.27</v>
      </c>
      <c r="D322">
        <v>1</v>
      </c>
      <c r="E322" t="s">
        <v>11</v>
      </c>
      <c r="F322" t="s">
        <v>13</v>
      </c>
      <c r="G322">
        <v>4894.7533000000003</v>
      </c>
      <c r="H322" t="str">
        <f t="shared" ref="H322:H385" si="15">IF(A322&lt;30, "18-29", IF(A322&lt;40, "30-39", IF(A322&lt;50, "40-49", IF(A322&lt;60, "50-59", "60+"))))</f>
        <v>30-39</v>
      </c>
      <c r="I322" t="str">
        <f t="shared" ref="I322:I385" si="16">IF(C322&lt;18.5, "Underweight", IF(C322&lt;25, "Normal", IF(C322&lt;30,"Overweight","Obese")))</f>
        <v>Overweight</v>
      </c>
      <c r="J322" t="str">
        <f t="shared" ref="J322:J385" si="17">IF(G322&gt;20000,"Yes","No")</f>
        <v>No</v>
      </c>
    </row>
    <row r="323" spans="1:10" x14ac:dyDescent="0.25">
      <c r="A323">
        <v>26</v>
      </c>
      <c r="B323" t="s">
        <v>7</v>
      </c>
      <c r="C323">
        <v>29.64</v>
      </c>
      <c r="D323">
        <v>4</v>
      </c>
      <c r="E323" t="s">
        <v>11</v>
      </c>
      <c r="F323" t="s">
        <v>14</v>
      </c>
      <c r="G323">
        <v>24671.663339999999</v>
      </c>
      <c r="H323" t="str">
        <f t="shared" si="15"/>
        <v>18-29</v>
      </c>
      <c r="I323" t="str">
        <f t="shared" si="16"/>
        <v>Overweight</v>
      </c>
      <c r="J323" t="str">
        <f t="shared" si="17"/>
        <v>Yes</v>
      </c>
    </row>
    <row r="324" spans="1:10" x14ac:dyDescent="0.25">
      <c r="A324">
        <v>34</v>
      </c>
      <c r="B324" t="s">
        <v>10</v>
      </c>
      <c r="C324">
        <v>30.8</v>
      </c>
      <c r="D324">
        <v>0</v>
      </c>
      <c r="E324" t="s">
        <v>8</v>
      </c>
      <c r="F324" t="s">
        <v>9</v>
      </c>
      <c r="G324">
        <v>35491.64</v>
      </c>
      <c r="H324" t="str">
        <f t="shared" si="15"/>
        <v>30-39</v>
      </c>
      <c r="I324" t="str">
        <f t="shared" si="16"/>
        <v>Obese</v>
      </c>
      <c r="J324" t="str">
        <f t="shared" si="17"/>
        <v>Yes</v>
      </c>
    </row>
    <row r="325" spans="1:10" x14ac:dyDescent="0.25">
      <c r="A325">
        <v>57</v>
      </c>
      <c r="B325" t="s">
        <v>10</v>
      </c>
      <c r="C325">
        <v>40.945</v>
      </c>
      <c r="D325">
        <v>0</v>
      </c>
      <c r="E325" t="s">
        <v>11</v>
      </c>
      <c r="F325" t="s">
        <v>14</v>
      </c>
      <c r="G325">
        <v>11566.30055</v>
      </c>
      <c r="H325" t="str">
        <f t="shared" si="15"/>
        <v>50-59</v>
      </c>
      <c r="I325" t="str">
        <f t="shared" si="16"/>
        <v>Obese</v>
      </c>
      <c r="J325" t="str">
        <f t="shared" si="17"/>
        <v>No</v>
      </c>
    </row>
    <row r="326" spans="1:10" x14ac:dyDescent="0.25">
      <c r="A326">
        <v>29</v>
      </c>
      <c r="B326" t="s">
        <v>10</v>
      </c>
      <c r="C326">
        <v>27.2</v>
      </c>
      <c r="D326">
        <v>0</v>
      </c>
      <c r="E326" t="s">
        <v>11</v>
      </c>
      <c r="F326" t="s">
        <v>9</v>
      </c>
      <c r="G326">
        <v>2866.0909999999999</v>
      </c>
      <c r="H326" t="str">
        <f t="shared" si="15"/>
        <v>18-29</v>
      </c>
      <c r="I326" t="str">
        <f t="shared" si="16"/>
        <v>Overweight</v>
      </c>
      <c r="J326" t="str">
        <f t="shared" si="17"/>
        <v>No</v>
      </c>
    </row>
    <row r="327" spans="1:10" x14ac:dyDescent="0.25">
      <c r="A327">
        <v>40</v>
      </c>
      <c r="B327" t="s">
        <v>10</v>
      </c>
      <c r="C327">
        <v>34.104999999999997</v>
      </c>
      <c r="D327">
        <v>1</v>
      </c>
      <c r="E327" t="s">
        <v>11</v>
      </c>
      <c r="F327" t="s">
        <v>14</v>
      </c>
      <c r="G327">
        <v>6600.2059499999996</v>
      </c>
      <c r="H327" t="str">
        <f t="shared" si="15"/>
        <v>40-49</v>
      </c>
      <c r="I327" t="str">
        <f t="shared" si="16"/>
        <v>Obese</v>
      </c>
      <c r="J327" t="str">
        <f t="shared" si="17"/>
        <v>No</v>
      </c>
    </row>
    <row r="328" spans="1:10" x14ac:dyDescent="0.25">
      <c r="A328">
        <v>27</v>
      </c>
      <c r="B328" t="s">
        <v>7</v>
      </c>
      <c r="C328">
        <v>23.21</v>
      </c>
      <c r="D328">
        <v>1</v>
      </c>
      <c r="E328" t="s">
        <v>11</v>
      </c>
      <c r="F328" t="s">
        <v>12</v>
      </c>
      <c r="G328">
        <v>3561.8888999999999</v>
      </c>
      <c r="H328" t="str">
        <f t="shared" si="15"/>
        <v>18-29</v>
      </c>
      <c r="I328" t="str">
        <f t="shared" si="16"/>
        <v>Normal</v>
      </c>
      <c r="J328" t="str">
        <f t="shared" si="17"/>
        <v>No</v>
      </c>
    </row>
    <row r="329" spans="1:10" x14ac:dyDescent="0.25">
      <c r="A329">
        <v>45</v>
      </c>
      <c r="B329" t="s">
        <v>10</v>
      </c>
      <c r="C329">
        <v>36.479999999999997</v>
      </c>
      <c r="D329">
        <v>2</v>
      </c>
      <c r="E329" t="s">
        <v>8</v>
      </c>
      <c r="F329" t="s">
        <v>13</v>
      </c>
      <c r="G329">
        <v>42760.502200000003</v>
      </c>
      <c r="H329" t="str">
        <f t="shared" si="15"/>
        <v>40-49</v>
      </c>
      <c r="I329" t="str">
        <f t="shared" si="16"/>
        <v>Obese</v>
      </c>
      <c r="J329" t="str">
        <f t="shared" si="17"/>
        <v>Yes</v>
      </c>
    </row>
    <row r="330" spans="1:10" x14ac:dyDescent="0.25">
      <c r="A330">
        <v>64</v>
      </c>
      <c r="B330" t="s">
        <v>7</v>
      </c>
      <c r="C330">
        <v>33.799999999999997</v>
      </c>
      <c r="D330">
        <v>1</v>
      </c>
      <c r="E330" t="s">
        <v>8</v>
      </c>
      <c r="F330" t="s">
        <v>9</v>
      </c>
      <c r="G330">
        <v>47928.03</v>
      </c>
      <c r="H330" t="str">
        <f t="shared" si="15"/>
        <v>60+</v>
      </c>
      <c r="I330" t="str">
        <f t="shared" si="16"/>
        <v>Obese</v>
      </c>
      <c r="J330" t="str">
        <f t="shared" si="17"/>
        <v>Yes</v>
      </c>
    </row>
    <row r="331" spans="1:10" x14ac:dyDescent="0.25">
      <c r="A331">
        <v>52</v>
      </c>
      <c r="B331" t="s">
        <v>10</v>
      </c>
      <c r="C331">
        <v>36.700000000000003</v>
      </c>
      <c r="D331">
        <v>0</v>
      </c>
      <c r="E331" t="s">
        <v>11</v>
      </c>
      <c r="F331" t="s">
        <v>9</v>
      </c>
      <c r="G331">
        <v>9144.5650000000005</v>
      </c>
      <c r="H331" t="str">
        <f t="shared" si="15"/>
        <v>50-59</v>
      </c>
      <c r="I331" t="str">
        <f t="shared" si="16"/>
        <v>Obese</v>
      </c>
      <c r="J331" t="str">
        <f t="shared" si="17"/>
        <v>No</v>
      </c>
    </row>
    <row r="332" spans="1:10" x14ac:dyDescent="0.25">
      <c r="A332">
        <v>61</v>
      </c>
      <c r="B332" t="s">
        <v>7</v>
      </c>
      <c r="C332">
        <v>36.384999999999998</v>
      </c>
      <c r="D332">
        <v>1</v>
      </c>
      <c r="E332" t="s">
        <v>8</v>
      </c>
      <c r="F332" t="s">
        <v>14</v>
      </c>
      <c r="G332">
        <v>48517.563150000002</v>
      </c>
      <c r="H332" t="str">
        <f t="shared" si="15"/>
        <v>60+</v>
      </c>
      <c r="I332" t="str">
        <f t="shared" si="16"/>
        <v>Obese</v>
      </c>
      <c r="J332" t="str">
        <f t="shared" si="17"/>
        <v>Yes</v>
      </c>
    </row>
    <row r="333" spans="1:10" x14ac:dyDescent="0.25">
      <c r="A333">
        <v>52</v>
      </c>
      <c r="B333" t="s">
        <v>10</v>
      </c>
      <c r="C333">
        <v>27.36</v>
      </c>
      <c r="D333">
        <v>0</v>
      </c>
      <c r="E333" t="s">
        <v>8</v>
      </c>
      <c r="F333" t="s">
        <v>13</v>
      </c>
      <c r="G333">
        <v>24393.6224</v>
      </c>
      <c r="H333" t="str">
        <f t="shared" si="15"/>
        <v>50-59</v>
      </c>
      <c r="I333" t="str">
        <f t="shared" si="16"/>
        <v>Overweight</v>
      </c>
      <c r="J333" t="str">
        <f t="shared" si="17"/>
        <v>Yes</v>
      </c>
    </row>
    <row r="334" spans="1:10" x14ac:dyDescent="0.25">
      <c r="A334">
        <v>61</v>
      </c>
      <c r="B334" t="s">
        <v>7</v>
      </c>
      <c r="C334">
        <v>31.16</v>
      </c>
      <c r="D334">
        <v>0</v>
      </c>
      <c r="E334" t="s">
        <v>11</v>
      </c>
      <c r="F334" t="s">
        <v>13</v>
      </c>
      <c r="G334">
        <v>13429.035400000001</v>
      </c>
      <c r="H334" t="str">
        <f t="shared" si="15"/>
        <v>60+</v>
      </c>
      <c r="I334" t="str">
        <f t="shared" si="16"/>
        <v>Obese</v>
      </c>
      <c r="J334" t="str">
        <f t="shared" si="17"/>
        <v>No</v>
      </c>
    </row>
    <row r="335" spans="1:10" x14ac:dyDescent="0.25">
      <c r="A335">
        <v>56</v>
      </c>
      <c r="B335" t="s">
        <v>7</v>
      </c>
      <c r="C335">
        <v>28.785</v>
      </c>
      <c r="D335">
        <v>0</v>
      </c>
      <c r="E335" t="s">
        <v>11</v>
      </c>
      <c r="F335" t="s">
        <v>14</v>
      </c>
      <c r="G335">
        <v>11658.379150000001</v>
      </c>
      <c r="H335" t="str">
        <f t="shared" si="15"/>
        <v>50-59</v>
      </c>
      <c r="I335" t="str">
        <f t="shared" si="16"/>
        <v>Overweight</v>
      </c>
      <c r="J335" t="str">
        <f t="shared" si="17"/>
        <v>No</v>
      </c>
    </row>
    <row r="336" spans="1:10" x14ac:dyDescent="0.25">
      <c r="A336">
        <v>43</v>
      </c>
      <c r="B336" t="s">
        <v>7</v>
      </c>
      <c r="C336">
        <v>35.72</v>
      </c>
      <c r="D336">
        <v>2</v>
      </c>
      <c r="E336" t="s">
        <v>11</v>
      </c>
      <c r="F336" t="s">
        <v>14</v>
      </c>
      <c r="G336">
        <v>19144.576519999999</v>
      </c>
      <c r="H336" t="str">
        <f t="shared" si="15"/>
        <v>40-49</v>
      </c>
      <c r="I336" t="str">
        <f t="shared" si="16"/>
        <v>Obese</v>
      </c>
      <c r="J336" t="str">
        <f t="shared" si="17"/>
        <v>No</v>
      </c>
    </row>
    <row r="337" spans="1:10" x14ac:dyDescent="0.25">
      <c r="A337">
        <v>64</v>
      </c>
      <c r="B337" t="s">
        <v>10</v>
      </c>
      <c r="C337">
        <v>34.5</v>
      </c>
      <c r="D337">
        <v>0</v>
      </c>
      <c r="E337" t="s">
        <v>11</v>
      </c>
      <c r="F337" t="s">
        <v>9</v>
      </c>
      <c r="G337">
        <v>13822.803</v>
      </c>
      <c r="H337" t="str">
        <f t="shared" si="15"/>
        <v>60+</v>
      </c>
      <c r="I337" t="str">
        <f t="shared" si="16"/>
        <v>Obese</v>
      </c>
      <c r="J337" t="str">
        <f t="shared" si="17"/>
        <v>No</v>
      </c>
    </row>
    <row r="338" spans="1:10" x14ac:dyDescent="0.25">
      <c r="A338">
        <v>60</v>
      </c>
      <c r="B338" t="s">
        <v>10</v>
      </c>
      <c r="C338">
        <v>25.74</v>
      </c>
      <c r="D338">
        <v>0</v>
      </c>
      <c r="E338" t="s">
        <v>11</v>
      </c>
      <c r="F338" t="s">
        <v>12</v>
      </c>
      <c r="G338">
        <v>12142.578600000001</v>
      </c>
      <c r="H338" t="str">
        <f t="shared" si="15"/>
        <v>60+</v>
      </c>
      <c r="I338" t="str">
        <f t="shared" si="16"/>
        <v>Overweight</v>
      </c>
      <c r="J338" t="str">
        <f t="shared" si="17"/>
        <v>No</v>
      </c>
    </row>
    <row r="339" spans="1:10" x14ac:dyDescent="0.25">
      <c r="A339">
        <v>62</v>
      </c>
      <c r="B339" t="s">
        <v>10</v>
      </c>
      <c r="C339">
        <v>27.55</v>
      </c>
      <c r="D339">
        <v>1</v>
      </c>
      <c r="E339" t="s">
        <v>11</v>
      </c>
      <c r="F339" t="s">
        <v>13</v>
      </c>
      <c r="G339">
        <v>13937.666499999999</v>
      </c>
      <c r="H339" t="str">
        <f t="shared" si="15"/>
        <v>60+</v>
      </c>
      <c r="I339" t="str">
        <f t="shared" si="16"/>
        <v>Overweight</v>
      </c>
      <c r="J339" t="str">
        <f t="shared" si="17"/>
        <v>No</v>
      </c>
    </row>
    <row r="340" spans="1:10" x14ac:dyDescent="0.25">
      <c r="A340">
        <v>50</v>
      </c>
      <c r="B340" t="s">
        <v>10</v>
      </c>
      <c r="C340">
        <v>32.299999999999997</v>
      </c>
      <c r="D340">
        <v>1</v>
      </c>
      <c r="E340" t="s">
        <v>8</v>
      </c>
      <c r="F340" t="s">
        <v>14</v>
      </c>
      <c r="G340">
        <v>41919.097000000002</v>
      </c>
      <c r="H340" t="str">
        <f t="shared" si="15"/>
        <v>50-59</v>
      </c>
      <c r="I340" t="str">
        <f t="shared" si="16"/>
        <v>Obese</v>
      </c>
      <c r="J340" t="str">
        <f t="shared" si="17"/>
        <v>Yes</v>
      </c>
    </row>
    <row r="341" spans="1:10" x14ac:dyDescent="0.25">
      <c r="A341">
        <v>46</v>
      </c>
      <c r="B341" t="s">
        <v>7</v>
      </c>
      <c r="C341">
        <v>27.72</v>
      </c>
      <c r="D341">
        <v>1</v>
      </c>
      <c r="E341" t="s">
        <v>11</v>
      </c>
      <c r="F341" t="s">
        <v>12</v>
      </c>
      <c r="G341">
        <v>8232.6388000000006</v>
      </c>
      <c r="H341" t="str">
        <f t="shared" si="15"/>
        <v>40-49</v>
      </c>
      <c r="I341" t="str">
        <f t="shared" si="16"/>
        <v>Overweight</v>
      </c>
      <c r="J341" t="str">
        <f t="shared" si="17"/>
        <v>No</v>
      </c>
    </row>
    <row r="342" spans="1:10" x14ac:dyDescent="0.25">
      <c r="A342">
        <v>24</v>
      </c>
      <c r="B342" t="s">
        <v>7</v>
      </c>
      <c r="C342">
        <v>27.6</v>
      </c>
      <c r="D342">
        <v>0</v>
      </c>
      <c r="E342" t="s">
        <v>11</v>
      </c>
      <c r="F342" t="s">
        <v>9</v>
      </c>
      <c r="G342">
        <v>18955.220170000001</v>
      </c>
      <c r="H342" t="str">
        <f t="shared" si="15"/>
        <v>18-29</v>
      </c>
      <c r="I342" t="str">
        <f t="shared" si="16"/>
        <v>Overweight</v>
      </c>
      <c r="J342" t="str">
        <f t="shared" si="17"/>
        <v>No</v>
      </c>
    </row>
    <row r="343" spans="1:10" x14ac:dyDescent="0.25">
      <c r="A343">
        <v>62</v>
      </c>
      <c r="B343" t="s">
        <v>10</v>
      </c>
      <c r="C343">
        <v>30.02</v>
      </c>
      <c r="D343">
        <v>0</v>
      </c>
      <c r="E343" t="s">
        <v>11</v>
      </c>
      <c r="F343" t="s">
        <v>13</v>
      </c>
      <c r="G343">
        <v>13352.0998</v>
      </c>
      <c r="H343" t="str">
        <f t="shared" si="15"/>
        <v>60+</v>
      </c>
      <c r="I343" t="str">
        <f t="shared" si="16"/>
        <v>Obese</v>
      </c>
      <c r="J343" t="str">
        <f t="shared" si="17"/>
        <v>No</v>
      </c>
    </row>
    <row r="344" spans="1:10" x14ac:dyDescent="0.25">
      <c r="A344">
        <v>60</v>
      </c>
      <c r="B344" t="s">
        <v>7</v>
      </c>
      <c r="C344">
        <v>27.55</v>
      </c>
      <c r="D344">
        <v>0</v>
      </c>
      <c r="E344" t="s">
        <v>11</v>
      </c>
      <c r="F344" t="s">
        <v>14</v>
      </c>
      <c r="G344">
        <v>13217.094499999999</v>
      </c>
      <c r="H344" t="str">
        <f t="shared" si="15"/>
        <v>60+</v>
      </c>
      <c r="I344" t="str">
        <f t="shared" si="16"/>
        <v>Overweight</v>
      </c>
      <c r="J344" t="str">
        <f t="shared" si="17"/>
        <v>No</v>
      </c>
    </row>
    <row r="345" spans="1:10" x14ac:dyDescent="0.25">
      <c r="A345">
        <v>63</v>
      </c>
      <c r="B345" t="s">
        <v>10</v>
      </c>
      <c r="C345">
        <v>36.765000000000001</v>
      </c>
      <c r="D345">
        <v>0</v>
      </c>
      <c r="E345" t="s">
        <v>11</v>
      </c>
      <c r="F345" t="s">
        <v>14</v>
      </c>
      <c r="G345">
        <v>13981.850350000001</v>
      </c>
      <c r="H345" t="str">
        <f t="shared" si="15"/>
        <v>60+</v>
      </c>
      <c r="I345" t="str">
        <f t="shared" si="16"/>
        <v>Obese</v>
      </c>
      <c r="J345" t="str">
        <f t="shared" si="17"/>
        <v>No</v>
      </c>
    </row>
    <row r="346" spans="1:10" x14ac:dyDescent="0.25">
      <c r="A346">
        <v>49</v>
      </c>
      <c r="B346" t="s">
        <v>7</v>
      </c>
      <c r="C346">
        <v>41.47</v>
      </c>
      <c r="D346">
        <v>4</v>
      </c>
      <c r="E346" t="s">
        <v>11</v>
      </c>
      <c r="F346" t="s">
        <v>12</v>
      </c>
      <c r="G346">
        <v>10977.2063</v>
      </c>
      <c r="H346" t="str">
        <f t="shared" si="15"/>
        <v>40-49</v>
      </c>
      <c r="I346" t="str">
        <f t="shared" si="16"/>
        <v>Obese</v>
      </c>
      <c r="J346" t="str">
        <f t="shared" si="17"/>
        <v>No</v>
      </c>
    </row>
    <row r="347" spans="1:10" x14ac:dyDescent="0.25">
      <c r="A347">
        <v>34</v>
      </c>
      <c r="B347" t="s">
        <v>7</v>
      </c>
      <c r="C347">
        <v>29.26</v>
      </c>
      <c r="D347">
        <v>3</v>
      </c>
      <c r="E347" t="s">
        <v>11</v>
      </c>
      <c r="F347" t="s">
        <v>12</v>
      </c>
      <c r="G347">
        <v>6184.2993999999999</v>
      </c>
      <c r="H347" t="str">
        <f t="shared" si="15"/>
        <v>30-39</v>
      </c>
      <c r="I347" t="str">
        <f t="shared" si="16"/>
        <v>Overweight</v>
      </c>
      <c r="J347" t="str">
        <f t="shared" si="17"/>
        <v>No</v>
      </c>
    </row>
    <row r="348" spans="1:10" x14ac:dyDescent="0.25">
      <c r="A348">
        <v>33</v>
      </c>
      <c r="B348" t="s">
        <v>10</v>
      </c>
      <c r="C348">
        <v>35.75</v>
      </c>
      <c r="D348">
        <v>2</v>
      </c>
      <c r="E348" t="s">
        <v>11</v>
      </c>
      <c r="F348" t="s">
        <v>12</v>
      </c>
      <c r="G348">
        <v>4889.9994999999999</v>
      </c>
      <c r="H348" t="str">
        <f t="shared" si="15"/>
        <v>30-39</v>
      </c>
      <c r="I348" t="str">
        <f t="shared" si="16"/>
        <v>Obese</v>
      </c>
      <c r="J348" t="str">
        <f t="shared" si="17"/>
        <v>No</v>
      </c>
    </row>
    <row r="349" spans="1:10" x14ac:dyDescent="0.25">
      <c r="A349">
        <v>46</v>
      </c>
      <c r="B349" t="s">
        <v>10</v>
      </c>
      <c r="C349">
        <v>33.344999999999999</v>
      </c>
      <c r="D349">
        <v>1</v>
      </c>
      <c r="E349" t="s">
        <v>11</v>
      </c>
      <c r="F349" t="s">
        <v>14</v>
      </c>
      <c r="G349">
        <v>8334.4575499999992</v>
      </c>
      <c r="H349" t="str">
        <f t="shared" si="15"/>
        <v>40-49</v>
      </c>
      <c r="I349" t="str">
        <f t="shared" si="16"/>
        <v>Obese</v>
      </c>
      <c r="J349" t="str">
        <f t="shared" si="17"/>
        <v>No</v>
      </c>
    </row>
    <row r="350" spans="1:10" x14ac:dyDescent="0.25">
      <c r="A350">
        <v>36</v>
      </c>
      <c r="B350" t="s">
        <v>7</v>
      </c>
      <c r="C350">
        <v>29.92</v>
      </c>
      <c r="D350">
        <v>1</v>
      </c>
      <c r="E350" t="s">
        <v>11</v>
      </c>
      <c r="F350" t="s">
        <v>12</v>
      </c>
      <c r="G350">
        <v>5478.0367999999999</v>
      </c>
      <c r="H350" t="str">
        <f t="shared" si="15"/>
        <v>30-39</v>
      </c>
      <c r="I350" t="str">
        <f t="shared" si="16"/>
        <v>Overweight</v>
      </c>
      <c r="J350" t="str">
        <f t="shared" si="17"/>
        <v>No</v>
      </c>
    </row>
    <row r="351" spans="1:10" x14ac:dyDescent="0.25">
      <c r="A351">
        <v>19</v>
      </c>
      <c r="B351" t="s">
        <v>10</v>
      </c>
      <c r="C351">
        <v>27.835000000000001</v>
      </c>
      <c r="D351">
        <v>0</v>
      </c>
      <c r="E351" t="s">
        <v>11</v>
      </c>
      <c r="F351" t="s">
        <v>13</v>
      </c>
      <c r="G351">
        <v>1635.7336499999999</v>
      </c>
      <c r="H351" t="str">
        <f t="shared" si="15"/>
        <v>18-29</v>
      </c>
      <c r="I351" t="str">
        <f t="shared" si="16"/>
        <v>Overweight</v>
      </c>
      <c r="J351" t="str">
        <f t="shared" si="17"/>
        <v>No</v>
      </c>
    </row>
    <row r="352" spans="1:10" x14ac:dyDescent="0.25">
      <c r="A352">
        <v>57</v>
      </c>
      <c r="B352" t="s">
        <v>7</v>
      </c>
      <c r="C352">
        <v>23.18</v>
      </c>
      <c r="D352">
        <v>0</v>
      </c>
      <c r="E352" t="s">
        <v>11</v>
      </c>
      <c r="F352" t="s">
        <v>13</v>
      </c>
      <c r="G352">
        <v>11830.6072</v>
      </c>
      <c r="H352" t="str">
        <f t="shared" si="15"/>
        <v>50-59</v>
      </c>
      <c r="I352" t="str">
        <f t="shared" si="16"/>
        <v>Normal</v>
      </c>
      <c r="J352" t="str">
        <f t="shared" si="17"/>
        <v>No</v>
      </c>
    </row>
    <row r="353" spans="1:10" x14ac:dyDescent="0.25">
      <c r="A353">
        <v>50</v>
      </c>
      <c r="B353" t="s">
        <v>7</v>
      </c>
      <c r="C353">
        <v>25.6</v>
      </c>
      <c r="D353">
        <v>0</v>
      </c>
      <c r="E353" t="s">
        <v>11</v>
      </c>
      <c r="F353" t="s">
        <v>9</v>
      </c>
      <c r="G353">
        <v>8932.0840000000007</v>
      </c>
      <c r="H353" t="str">
        <f t="shared" si="15"/>
        <v>50-59</v>
      </c>
      <c r="I353" t="str">
        <f t="shared" si="16"/>
        <v>Overweight</v>
      </c>
      <c r="J353" t="str">
        <f t="shared" si="17"/>
        <v>No</v>
      </c>
    </row>
    <row r="354" spans="1:10" x14ac:dyDescent="0.25">
      <c r="A354">
        <v>30</v>
      </c>
      <c r="B354" t="s">
        <v>7</v>
      </c>
      <c r="C354">
        <v>27.7</v>
      </c>
      <c r="D354">
        <v>0</v>
      </c>
      <c r="E354" t="s">
        <v>11</v>
      </c>
      <c r="F354" t="s">
        <v>9</v>
      </c>
      <c r="G354">
        <v>3554.203</v>
      </c>
      <c r="H354" t="str">
        <f t="shared" si="15"/>
        <v>30-39</v>
      </c>
      <c r="I354" t="str">
        <f t="shared" si="16"/>
        <v>Overweight</v>
      </c>
      <c r="J354" t="str">
        <f t="shared" si="17"/>
        <v>No</v>
      </c>
    </row>
    <row r="355" spans="1:10" x14ac:dyDescent="0.25">
      <c r="A355">
        <v>33</v>
      </c>
      <c r="B355" t="s">
        <v>10</v>
      </c>
      <c r="C355">
        <v>35.244999999999997</v>
      </c>
      <c r="D355">
        <v>0</v>
      </c>
      <c r="E355" t="s">
        <v>11</v>
      </c>
      <c r="F355" t="s">
        <v>14</v>
      </c>
      <c r="G355">
        <v>12404.8791</v>
      </c>
      <c r="H355" t="str">
        <f t="shared" si="15"/>
        <v>30-39</v>
      </c>
      <c r="I355" t="str">
        <f t="shared" si="16"/>
        <v>Obese</v>
      </c>
      <c r="J355" t="str">
        <f t="shared" si="17"/>
        <v>No</v>
      </c>
    </row>
    <row r="356" spans="1:10" x14ac:dyDescent="0.25">
      <c r="A356">
        <v>18</v>
      </c>
      <c r="B356" t="s">
        <v>7</v>
      </c>
      <c r="C356">
        <v>38.28</v>
      </c>
      <c r="D356">
        <v>0</v>
      </c>
      <c r="E356" t="s">
        <v>11</v>
      </c>
      <c r="F356" t="s">
        <v>12</v>
      </c>
      <c r="G356">
        <v>14133.03775</v>
      </c>
      <c r="H356" t="str">
        <f t="shared" si="15"/>
        <v>18-29</v>
      </c>
      <c r="I356" t="str">
        <f t="shared" si="16"/>
        <v>Obese</v>
      </c>
      <c r="J356" t="str">
        <f t="shared" si="17"/>
        <v>No</v>
      </c>
    </row>
    <row r="357" spans="1:10" x14ac:dyDescent="0.25">
      <c r="A357">
        <v>46</v>
      </c>
      <c r="B357" t="s">
        <v>10</v>
      </c>
      <c r="C357">
        <v>27.6</v>
      </c>
      <c r="D357">
        <v>0</v>
      </c>
      <c r="E357" t="s">
        <v>11</v>
      </c>
      <c r="F357" t="s">
        <v>9</v>
      </c>
      <c r="G357">
        <v>24603.04837</v>
      </c>
      <c r="H357" t="str">
        <f t="shared" si="15"/>
        <v>40-49</v>
      </c>
      <c r="I357" t="str">
        <f t="shared" si="16"/>
        <v>Overweight</v>
      </c>
      <c r="J357" t="str">
        <f t="shared" si="17"/>
        <v>Yes</v>
      </c>
    </row>
    <row r="358" spans="1:10" x14ac:dyDescent="0.25">
      <c r="A358">
        <v>46</v>
      </c>
      <c r="B358" t="s">
        <v>10</v>
      </c>
      <c r="C358">
        <v>43.89</v>
      </c>
      <c r="D358">
        <v>3</v>
      </c>
      <c r="E358" t="s">
        <v>11</v>
      </c>
      <c r="F358" t="s">
        <v>12</v>
      </c>
      <c r="G358">
        <v>8944.1151000000009</v>
      </c>
      <c r="H358" t="str">
        <f t="shared" si="15"/>
        <v>40-49</v>
      </c>
      <c r="I358" t="str">
        <f t="shared" si="16"/>
        <v>Obese</v>
      </c>
      <c r="J358" t="str">
        <f t="shared" si="17"/>
        <v>No</v>
      </c>
    </row>
    <row r="359" spans="1:10" x14ac:dyDescent="0.25">
      <c r="A359">
        <v>47</v>
      </c>
      <c r="B359" t="s">
        <v>10</v>
      </c>
      <c r="C359">
        <v>29.83</v>
      </c>
      <c r="D359">
        <v>3</v>
      </c>
      <c r="E359" t="s">
        <v>11</v>
      </c>
      <c r="F359" t="s">
        <v>13</v>
      </c>
      <c r="G359">
        <v>9620.3307000000004</v>
      </c>
      <c r="H359" t="str">
        <f t="shared" si="15"/>
        <v>40-49</v>
      </c>
      <c r="I359" t="str">
        <f t="shared" si="16"/>
        <v>Overweight</v>
      </c>
      <c r="J359" t="str">
        <f t="shared" si="17"/>
        <v>No</v>
      </c>
    </row>
    <row r="360" spans="1:10" x14ac:dyDescent="0.25">
      <c r="A360">
        <v>23</v>
      </c>
      <c r="B360" t="s">
        <v>10</v>
      </c>
      <c r="C360">
        <v>41.91</v>
      </c>
      <c r="D360">
        <v>0</v>
      </c>
      <c r="E360" t="s">
        <v>11</v>
      </c>
      <c r="F360" t="s">
        <v>12</v>
      </c>
      <c r="G360">
        <v>1837.2819</v>
      </c>
      <c r="H360" t="str">
        <f t="shared" si="15"/>
        <v>18-29</v>
      </c>
      <c r="I360" t="str">
        <f t="shared" si="16"/>
        <v>Obese</v>
      </c>
      <c r="J360" t="str">
        <f t="shared" si="17"/>
        <v>No</v>
      </c>
    </row>
    <row r="361" spans="1:10" x14ac:dyDescent="0.25">
      <c r="A361">
        <v>18</v>
      </c>
      <c r="B361" t="s">
        <v>7</v>
      </c>
      <c r="C361">
        <v>20.79</v>
      </c>
      <c r="D361">
        <v>0</v>
      </c>
      <c r="E361" t="s">
        <v>11</v>
      </c>
      <c r="F361" t="s">
        <v>12</v>
      </c>
      <c r="G361">
        <v>1607.5101</v>
      </c>
      <c r="H361" t="str">
        <f t="shared" si="15"/>
        <v>18-29</v>
      </c>
      <c r="I361" t="str">
        <f t="shared" si="16"/>
        <v>Normal</v>
      </c>
      <c r="J361" t="str">
        <f t="shared" si="17"/>
        <v>No</v>
      </c>
    </row>
    <row r="362" spans="1:10" x14ac:dyDescent="0.25">
      <c r="A362">
        <v>48</v>
      </c>
      <c r="B362" t="s">
        <v>7</v>
      </c>
      <c r="C362">
        <v>32.299999999999997</v>
      </c>
      <c r="D362">
        <v>2</v>
      </c>
      <c r="E362" t="s">
        <v>11</v>
      </c>
      <c r="F362" t="s">
        <v>14</v>
      </c>
      <c r="G362">
        <v>10043.249</v>
      </c>
      <c r="H362" t="str">
        <f t="shared" si="15"/>
        <v>40-49</v>
      </c>
      <c r="I362" t="str">
        <f t="shared" si="16"/>
        <v>Obese</v>
      </c>
      <c r="J362" t="str">
        <f t="shared" si="17"/>
        <v>No</v>
      </c>
    </row>
    <row r="363" spans="1:10" x14ac:dyDescent="0.25">
      <c r="A363">
        <v>35</v>
      </c>
      <c r="B363" t="s">
        <v>10</v>
      </c>
      <c r="C363">
        <v>30.5</v>
      </c>
      <c r="D363">
        <v>1</v>
      </c>
      <c r="E363" t="s">
        <v>11</v>
      </c>
      <c r="F363" t="s">
        <v>9</v>
      </c>
      <c r="G363">
        <v>4751.07</v>
      </c>
      <c r="H363" t="str">
        <f t="shared" si="15"/>
        <v>30-39</v>
      </c>
      <c r="I363" t="str">
        <f t="shared" si="16"/>
        <v>Obese</v>
      </c>
      <c r="J363" t="str">
        <f t="shared" si="17"/>
        <v>No</v>
      </c>
    </row>
    <row r="364" spans="1:10" x14ac:dyDescent="0.25">
      <c r="A364">
        <v>19</v>
      </c>
      <c r="B364" t="s">
        <v>7</v>
      </c>
      <c r="C364">
        <v>21.7</v>
      </c>
      <c r="D364">
        <v>0</v>
      </c>
      <c r="E364" t="s">
        <v>8</v>
      </c>
      <c r="F364" t="s">
        <v>9</v>
      </c>
      <c r="G364">
        <v>13844.505999999999</v>
      </c>
      <c r="H364" t="str">
        <f t="shared" si="15"/>
        <v>18-29</v>
      </c>
      <c r="I364" t="str">
        <f t="shared" si="16"/>
        <v>Normal</v>
      </c>
      <c r="J364" t="str">
        <f t="shared" si="17"/>
        <v>No</v>
      </c>
    </row>
    <row r="365" spans="1:10" x14ac:dyDescent="0.25">
      <c r="A365">
        <v>21</v>
      </c>
      <c r="B365" t="s">
        <v>7</v>
      </c>
      <c r="C365">
        <v>26.4</v>
      </c>
      <c r="D365">
        <v>1</v>
      </c>
      <c r="E365" t="s">
        <v>11</v>
      </c>
      <c r="F365" t="s">
        <v>9</v>
      </c>
      <c r="G365">
        <v>2597.779</v>
      </c>
      <c r="H365" t="str">
        <f t="shared" si="15"/>
        <v>18-29</v>
      </c>
      <c r="I365" t="str">
        <f t="shared" si="16"/>
        <v>Overweight</v>
      </c>
      <c r="J365" t="str">
        <f t="shared" si="17"/>
        <v>No</v>
      </c>
    </row>
    <row r="366" spans="1:10" x14ac:dyDescent="0.25">
      <c r="A366">
        <v>21</v>
      </c>
      <c r="B366" t="s">
        <v>7</v>
      </c>
      <c r="C366">
        <v>21.89</v>
      </c>
      <c r="D366">
        <v>2</v>
      </c>
      <c r="E366" t="s">
        <v>11</v>
      </c>
      <c r="F366" t="s">
        <v>12</v>
      </c>
      <c r="G366">
        <v>3180.5101</v>
      </c>
      <c r="H366" t="str">
        <f t="shared" si="15"/>
        <v>18-29</v>
      </c>
      <c r="I366" t="str">
        <f t="shared" si="16"/>
        <v>Normal</v>
      </c>
      <c r="J366" t="str">
        <f t="shared" si="17"/>
        <v>No</v>
      </c>
    </row>
    <row r="367" spans="1:10" x14ac:dyDescent="0.25">
      <c r="A367">
        <v>49</v>
      </c>
      <c r="B367" t="s">
        <v>7</v>
      </c>
      <c r="C367">
        <v>30.78</v>
      </c>
      <c r="D367">
        <v>1</v>
      </c>
      <c r="E367" t="s">
        <v>11</v>
      </c>
      <c r="F367" t="s">
        <v>14</v>
      </c>
      <c r="G367">
        <v>9778.3472000000002</v>
      </c>
      <c r="H367" t="str">
        <f t="shared" si="15"/>
        <v>40-49</v>
      </c>
      <c r="I367" t="str">
        <f t="shared" si="16"/>
        <v>Obese</v>
      </c>
      <c r="J367" t="str">
        <f t="shared" si="17"/>
        <v>No</v>
      </c>
    </row>
    <row r="368" spans="1:10" x14ac:dyDescent="0.25">
      <c r="A368">
        <v>56</v>
      </c>
      <c r="B368" t="s">
        <v>7</v>
      </c>
      <c r="C368">
        <v>32.299999999999997</v>
      </c>
      <c r="D368">
        <v>3</v>
      </c>
      <c r="E368" t="s">
        <v>11</v>
      </c>
      <c r="F368" t="s">
        <v>14</v>
      </c>
      <c r="G368">
        <v>13430.264999999999</v>
      </c>
      <c r="H368" t="str">
        <f t="shared" si="15"/>
        <v>50-59</v>
      </c>
      <c r="I368" t="str">
        <f t="shared" si="16"/>
        <v>Obese</v>
      </c>
      <c r="J368" t="str">
        <f t="shared" si="17"/>
        <v>No</v>
      </c>
    </row>
    <row r="369" spans="1:10" x14ac:dyDescent="0.25">
      <c r="A369">
        <v>42</v>
      </c>
      <c r="B369" t="s">
        <v>7</v>
      </c>
      <c r="C369">
        <v>24.984999999999999</v>
      </c>
      <c r="D369">
        <v>2</v>
      </c>
      <c r="E369" t="s">
        <v>11</v>
      </c>
      <c r="F369" t="s">
        <v>13</v>
      </c>
      <c r="G369">
        <v>8017.0611500000005</v>
      </c>
      <c r="H369" t="str">
        <f t="shared" si="15"/>
        <v>40-49</v>
      </c>
      <c r="I369" t="str">
        <f t="shared" si="16"/>
        <v>Normal</v>
      </c>
      <c r="J369" t="str">
        <f t="shared" si="17"/>
        <v>No</v>
      </c>
    </row>
    <row r="370" spans="1:10" x14ac:dyDescent="0.25">
      <c r="A370">
        <v>44</v>
      </c>
      <c r="B370" t="s">
        <v>10</v>
      </c>
      <c r="C370">
        <v>32.015000000000001</v>
      </c>
      <c r="D370">
        <v>2</v>
      </c>
      <c r="E370" t="s">
        <v>11</v>
      </c>
      <c r="F370" t="s">
        <v>13</v>
      </c>
      <c r="G370">
        <v>8116.2688500000004</v>
      </c>
      <c r="H370" t="str">
        <f t="shared" si="15"/>
        <v>40-49</v>
      </c>
      <c r="I370" t="str">
        <f t="shared" si="16"/>
        <v>Obese</v>
      </c>
      <c r="J370" t="str">
        <f t="shared" si="17"/>
        <v>No</v>
      </c>
    </row>
    <row r="371" spans="1:10" x14ac:dyDescent="0.25">
      <c r="A371">
        <v>18</v>
      </c>
      <c r="B371" t="s">
        <v>10</v>
      </c>
      <c r="C371">
        <v>30.4</v>
      </c>
      <c r="D371">
        <v>3</v>
      </c>
      <c r="E371" t="s">
        <v>11</v>
      </c>
      <c r="F371" t="s">
        <v>14</v>
      </c>
      <c r="G371">
        <v>3481.8679999999999</v>
      </c>
      <c r="H371" t="str">
        <f t="shared" si="15"/>
        <v>18-29</v>
      </c>
      <c r="I371" t="str">
        <f t="shared" si="16"/>
        <v>Obese</v>
      </c>
      <c r="J371" t="str">
        <f t="shared" si="17"/>
        <v>No</v>
      </c>
    </row>
    <row r="372" spans="1:10" x14ac:dyDescent="0.25">
      <c r="A372">
        <v>61</v>
      </c>
      <c r="B372" t="s">
        <v>7</v>
      </c>
      <c r="C372">
        <v>21.09</v>
      </c>
      <c r="D372">
        <v>0</v>
      </c>
      <c r="E372" t="s">
        <v>11</v>
      </c>
      <c r="F372" t="s">
        <v>13</v>
      </c>
      <c r="G372">
        <v>13415.0381</v>
      </c>
      <c r="H372" t="str">
        <f t="shared" si="15"/>
        <v>60+</v>
      </c>
      <c r="I372" t="str">
        <f t="shared" si="16"/>
        <v>Normal</v>
      </c>
      <c r="J372" t="str">
        <f t="shared" si="17"/>
        <v>No</v>
      </c>
    </row>
    <row r="373" spans="1:10" x14ac:dyDescent="0.25">
      <c r="A373">
        <v>57</v>
      </c>
      <c r="B373" t="s">
        <v>7</v>
      </c>
      <c r="C373">
        <v>22.23</v>
      </c>
      <c r="D373">
        <v>0</v>
      </c>
      <c r="E373" t="s">
        <v>11</v>
      </c>
      <c r="F373" t="s">
        <v>14</v>
      </c>
      <c r="G373">
        <v>12029.286700000001</v>
      </c>
      <c r="H373" t="str">
        <f t="shared" si="15"/>
        <v>50-59</v>
      </c>
      <c r="I373" t="str">
        <f t="shared" si="16"/>
        <v>Normal</v>
      </c>
      <c r="J373" t="str">
        <f t="shared" si="17"/>
        <v>No</v>
      </c>
    </row>
    <row r="374" spans="1:10" x14ac:dyDescent="0.25">
      <c r="A374">
        <v>42</v>
      </c>
      <c r="B374" t="s">
        <v>7</v>
      </c>
      <c r="C374">
        <v>33.155000000000001</v>
      </c>
      <c r="D374">
        <v>1</v>
      </c>
      <c r="E374" t="s">
        <v>11</v>
      </c>
      <c r="F374" t="s">
        <v>14</v>
      </c>
      <c r="G374">
        <v>7639.4174499999999</v>
      </c>
      <c r="H374" t="str">
        <f t="shared" si="15"/>
        <v>40-49</v>
      </c>
      <c r="I374" t="str">
        <f t="shared" si="16"/>
        <v>Obese</v>
      </c>
      <c r="J374" t="str">
        <f t="shared" si="17"/>
        <v>No</v>
      </c>
    </row>
    <row r="375" spans="1:10" x14ac:dyDescent="0.25">
      <c r="A375">
        <v>26</v>
      </c>
      <c r="B375" t="s">
        <v>10</v>
      </c>
      <c r="C375">
        <v>32.9</v>
      </c>
      <c r="D375">
        <v>2</v>
      </c>
      <c r="E375" t="s">
        <v>8</v>
      </c>
      <c r="F375" t="s">
        <v>9</v>
      </c>
      <c r="G375">
        <v>36085.218999999997</v>
      </c>
      <c r="H375" t="str">
        <f t="shared" si="15"/>
        <v>18-29</v>
      </c>
      <c r="I375" t="str">
        <f t="shared" si="16"/>
        <v>Obese</v>
      </c>
      <c r="J375" t="str">
        <f t="shared" si="17"/>
        <v>Yes</v>
      </c>
    </row>
    <row r="376" spans="1:10" x14ac:dyDescent="0.25">
      <c r="A376">
        <v>20</v>
      </c>
      <c r="B376" t="s">
        <v>10</v>
      </c>
      <c r="C376">
        <v>33.33</v>
      </c>
      <c r="D376">
        <v>0</v>
      </c>
      <c r="E376" t="s">
        <v>11</v>
      </c>
      <c r="F376" t="s">
        <v>12</v>
      </c>
      <c r="G376">
        <v>1391.5287000000001</v>
      </c>
      <c r="H376" t="str">
        <f t="shared" si="15"/>
        <v>18-29</v>
      </c>
      <c r="I376" t="str">
        <f t="shared" si="16"/>
        <v>Obese</v>
      </c>
      <c r="J376" t="str">
        <f t="shared" si="17"/>
        <v>No</v>
      </c>
    </row>
    <row r="377" spans="1:10" x14ac:dyDescent="0.25">
      <c r="A377">
        <v>23</v>
      </c>
      <c r="B377" t="s">
        <v>7</v>
      </c>
      <c r="C377">
        <v>28.31</v>
      </c>
      <c r="D377">
        <v>0</v>
      </c>
      <c r="E377" t="s">
        <v>8</v>
      </c>
      <c r="F377" t="s">
        <v>13</v>
      </c>
      <c r="G377">
        <v>18033.9679</v>
      </c>
      <c r="H377" t="str">
        <f t="shared" si="15"/>
        <v>18-29</v>
      </c>
      <c r="I377" t="str">
        <f t="shared" si="16"/>
        <v>Overweight</v>
      </c>
      <c r="J377" t="str">
        <f t="shared" si="17"/>
        <v>No</v>
      </c>
    </row>
    <row r="378" spans="1:10" x14ac:dyDescent="0.25">
      <c r="A378">
        <v>39</v>
      </c>
      <c r="B378" t="s">
        <v>7</v>
      </c>
      <c r="C378">
        <v>24.89</v>
      </c>
      <c r="D378">
        <v>3</v>
      </c>
      <c r="E378" t="s">
        <v>8</v>
      </c>
      <c r="F378" t="s">
        <v>14</v>
      </c>
      <c r="G378">
        <v>21659.930100000001</v>
      </c>
      <c r="H378" t="str">
        <f t="shared" si="15"/>
        <v>30-39</v>
      </c>
      <c r="I378" t="str">
        <f t="shared" si="16"/>
        <v>Normal</v>
      </c>
      <c r="J378" t="str">
        <f t="shared" si="17"/>
        <v>Yes</v>
      </c>
    </row>
    <row r="379" spans="1:10" x14ac:dyDescent="0.25">
      <c r="A379">
        <v>24</v>
      </c>
      <c r="B379" t="s">
        <v>10</v>
      </c>
      <c r="C379">
        <v>40.15</v>
      </c>
      <c r="D379">
        <v>0</v>
      </c>
      <c r="E379" t="s">
        <v>8</v>
      </c>
      <c r="F379" t="s">
        <v>12</v>
      </c>
      <c r="G379">
        <v>38126.246500000001</v>
      </c>
      <c r="H379" t="str">
        <f t="shared" si="15"/>
        <v>18-29</v>
      </c>
      <c r="I379" t="str">
        <f t="shared" si="16"/>
        <v>Obese</v>
      </c>
      <c r="J379" t="str">
        <f t="shared" si="17"/>
        <v>Yes</v>
      </c>
    </row>
    <row r="380" spans="1:10" x14ac:dyDescent="0.25">
      <c r="A380">
        <v>64</v>
      </c>
      <c r="B380" t="s">
        <v>7</v>
      </c>
      <c r="C380">
        <v>30.114999999999998</v>
      </c>
      <c r="D380">
        <v>3</v>
      </c>
      <c r="E380" t="s">
        <v>11</v>
      </c>
      <c r="F380" t="s">
        <v>13</v>
      </c>
      <c r="G380">
        <v>16455.707849999999</v>
      </c>
      <c r="H380" t="str">
        <f t="shared" si="15"/>
        <v>60+</v>
      </c>
      <c r="I380" t="str">
        <f t="shared" si="16"/>
        <v>Obese</v>
      </c>
      <c r="J380" t="str">
        <f t="shared" si="17"/>
        <v>No</v>
      </c>
    </row>
    <row r="381" spans="1:10" x14ac:dyDescent="0.25">
      <c r="A381">
        <v>62</v>
      </c>
      <c r="B381" t="s">
        <v>10</v>
      </c>
      <c r="C381">
        <v>31.46</v>
      </c>
      <c r="D381">
        <v>1</v>
      </c>
      <c r="E381" t="s">
        <v>11</v>
      </c>
      <c r="F381" t="s">
        <v>12</v>
      </c>
      <c r="G381">
        <v>27000.98473</v>
      </c>
      <c r="H381" t="str">
        <f t="shared" si="15"/>
        <v>60+</v>
      </c>
      <c r="I381" t="str">
        <f t="shared" si="16"/>
        <v>Obese</v>
      </c>
      <c r="J381" t="str">
        <f t="shared" si="17"/>
        <v>Yes</v>
      </c>
    </row>
    <row r="382" spans="1:10" x14ac:dyDescent="0.25">
      <c r="A382">
        <v>27</v>
      </c>
      <c r="B382" t="s">
        <v>7</v>
      </c>
      <c r="C382">
        <v>17.954999999999998</v>
      </c>
      <c r="D382">
        <v>2</v>
      </c>
      <c r="E382" t="s">
        <v>8</v>
      </c>
      <c r="F382" t="s">
        <v>14</v>
      </c>
      <c r="G382">
        <v>15006.579449999999</v>
      </c>
      <c r="H382" t="str">
        <f t="shared" si="15"/>
        <v>18-29</v>
      </c>
      <c r="I382" t="str">
        <f t="shared" si="16"/>
        <v>Underweight</v>
      </c>
      <c r="J382" t="str">
        <f t="shared" si="17"/>
        <v>No</v>
      </c>
    </row>
    <row r="383" spans="1:10" x14ac:dyDescent="0.25">
      <c r="A383">
        <v>55</v>
      </c>
      <c r="B383" t="s">
        <v>10</v>
      </c>
      <c r="C383">
        <v>30.684999999999999</v>
      </c>
      <c r="D383">
        <v>0</v>
      </c>
      <c r="E383" t="s">
        <v>8</v>
      </c>
      <c r="F383" t="s">
        <v>14</v>
      </c>
      <c r="G383">
        <v>42303.692150000003</v>
      </c>
      <c r="H383" t="str">
        <f t="shared" si="15"/>
        <v>50-59</v>
      </c>
      <c r="I383" t="str">
        <f t="shared" si="16"/>
        <v>Obese</v>
      </c>
      <c r="J383" t="str">
        <f t="shared" si="17"/>
        <v>Yes</v>
      </c>
    </row>
    <row r="384" spans="1:10" x14ac:dyDescent="0.25">
      <c r="A384">
        <v>55</v>
      </c>
      <c r="B384" t="s">
        <v>10</v>
      </c>
      <c r="C384">
        <v>33</v>
      </c>
      <c r="D384">
        <v>0</v>
      </c>
      <c r="E384" t="s">
        <v>11</v>
      </c>
      <c r="F384" t="s">
        <v>12</v>
      </c>
      <c r="G384">
        <v>20781.48892</v>
      </c>
      <c r="H384" t="str">
        <f t="shared" si="15"/>
        <v>50-59</v>
      </c>
      <c r="I384" t="str">
        <f t="shared" si="16"/>
        <v>Obese</v>
      </c>
      <c r="J384" t="str">
        <f t="shared" si="17"/>
        <v>Yes</v>
      </c>
    </row>
    <row r="385" spans="1:10" x14ac:dyDescent="0.25">
      <c r="A385">
        <v>35</v>
      </c>
      <c r="B385" t="s">
        <v>7</v>
      </c>
      <c r="C385">
        <v>43.34</v>
      </c>
      <c r="D385">
        <v>2</v>
      </c>
      <c r="E385" t="s">
        <v>11</v>
      </c>
      <c r="F385" t="s">
        <v>12</v>
      </c>
      <c r="G385">
        <v>5846.9175999999998</v>
      </c>
      <c r="H385" t="str">
        <f t="shared" si="15"/>
        <v>30-39</v>
      </c>
      <c r="I385" t="str">
        <f t="shared" si="16"/>
        <v>Obese</v>
      </c>
      <c r="J385" t="str">
        <f t="shared" si="17"/>
        <v>No</v>
      </c>
    </row>
    <row r="386" spans="1:10" x14ac:dyDescent="0.25">
      <c r="A386">
        <v>44</v>
      </c>
      <c r="B386" t="s">
        <v>10</v>
      </c>
      <c r="C386">
        <v>22.135000000000002</v>
      </c>
      <c r="D386">
        <v>2</v>
      </c>
      <c r="E386" t="s">
        <v>11</v>
      </c>
      <c r="F386" t="s">
        <v>14</v>
      </c>
      <c r="G386">
        <v>8302.5356499999998</v>
      </c>
      <c r="H386" t="str">
        <f t="shared" ref="H386:H449" si="18">IF(A386&lt;30, "18-29", IF(A386&lt;40, "30-39", IF(A386&lt;50, "40-49", IF(A386&lt;60, "50-59", "60+"))))</f>
        <v>40-49</v>
      </c>
      <c r="I386" t="str">
        <f t="shared" ref="I386:I449" si="19">IF(C386&lt;18.5, "Underweight", IF(C386&lt;25, "Normal", IF(C386&lt;30,"Overweight","Obese")))</f>
        <v>Normal</v>
      </c>
      <c r="J386" t="str">
        <f t="shared" ref="J386:J449" si="20">IF(G386&gt;20000,"Yes","No")</f>
        <v>No</v>
      </c>
    </row>
    <row r="387" spans="1:10" x14ac:dyDescent="0.25">
      <c r="A387">
        <v>19</v>
      </c>
      <c r="B387" t="s">
        <v>10</v>
      </c>
      <c r="C387">
        <v>34.4</v>
      </c>
      <c r="D387">
        <v>0</v>
      </c>
      <c r="E387" t="s">
        <v>11</v>
      </c>
      <c r="F387" t="s">
        <v>9</v>
      </c>
      <c r="G387">
        <v>1261.8589999999999</v>
      </c>
      <c r="H387" t="str">
        <f t="shared" si="18"/>
        <v>18-29</v>
      </c>
      <c r="I387" t="str">
        <f t="shared" si="19"/>
        <v>Obese</v>
      </c>
      <c r="J387" t="str">
        <f t="shared" si="20"/>
        <v>No</v>
      </c>
    </row>
    <row r="388" spans="1:10" x14ac:dyDescent="0.25">
      <c r="A388">
        <v>58</v>
      </c>
      <c r="B388" t="s">
        <v>7</v>
      </c>
      <c r="C388">
        <v>39.049999999999997</v>
      </c>
      <c r="D388">
        <v>0</v>
      </c>
      <c r="E388" t="s">
        <v>11</v>
      </c>
      <c r="F388" t="s">
        <v>12</v>
      </c>
      <c r="G388">
        <v>11856.4115</v>
      </c>
      <c r="H388" t="str">
        <f t="shared" si="18"/>
        <v>50-59</v>
      </c>
      <c r="I388" t="str">
        <f t="shared" si="19"/>
        <v>Obese</v>
      </c>
      <c r="J388" t="str">
        <f t="shared" si="20"/>
        <v>No</v>
      </c>
    </row>
    <row r="389" spans="1:10" x14ac:dyDescent="0.25">
      <c r="A389">
        <v>50</v>
      </c>
      <c r="B389" t="s">
        <v>10</v>
      </c>
      <c r="C389">
        <v>25.364999999999998</v>
      </c>
      <c r="D389">
        <v>2</v>
      </c>
      <c r="E389" t="s">
        <v>11</v>
      </c>
      <c r="F389" t="s">
        <v>13</v>
      </c>
      <c r="G389">
        <v>30284.642940000002</v>
      </c>
      <c r="H389" t="str">
        <f t="shared" si="18"/>
        <v>50-59</v>
      </c>
      <c r="I389" t="str">
        <f t="shared" si="19"/>
        <v>Overweight</v>
      </c>
      <c r="J389" t="str">
        <f t="shared" si="20"/>
        <v>Yes</v>
      </c>
    </row>
    <row r="390" spans="1:10" x14ac:dyDescent="0.25">
      <c r="A390">
        <v>26</v>
      </c>
      <c r="B390" t="s">
        <v>7</v>
      </c>
      <c r="C390">
        <v>22.61</v>
      </c>
      <c r="D390">
        <v>0</v>
      </c>
      <c r="E390" t="s">
        <v>11</v>
      </c>
      <c r="F390" t="s">
        <v>13</v>
      </c>
      <c r="G390">
        <v>3176.8159000000001</v>
      </c>
      <c r="H390" t="str">
        <f t="shared" si="18"/>
        <v>18-29</v>
      </c>
      <c r="I390" t="str">
        <f t="shared" si="19"/>
        <v>Normal</v>
      </c>
      <c r="J390" t="str">
        <f t="shared" si="20"/>
        <v>No</v>
      </c>
    </row>
    <row r="391" spans="1:10" x14ac:dyDescent="0.25">
      <c r="A391">
        <v>24</v>
      </c>
      <c r="B391" t="s">
        <v>7</v>
      </c>
      <c r="C391">
        <v>30.21</v>
      </c>
      <c r="D391">
        <v>3</v>
      </c>
      <c r="E391" t="s">
        <v>11</v>
      </c>
      <c r="F391" t="s">
        <v>13</v>
      </c>
      <c r="G391">
        <v>4618.0798999999997</v>
      </c>
      <c r="H391" t="str">
        <f t="shared" si="18"/>
        <v>18-29</v>
      </c>
      <c r="I391" t="str">
        <f t="shared" si="19"/>
        <v>Obese</v>
      </c>
      <c r="J391" t="str">
        <f t="shared" si="20"/>
        <v>No</v>
      </c>
    </row>
    <row r="392" spans="1:10" x14ac:dyDescent="0.25">
      <c r="A392">
        <v>48</v>
      </c>
      <c r="B392" t="s">
        <v>10</v>
      </c>
      <c r="C392">
        <v>35.625</v>
      </c>
      <c r="D392">
        <v>4</v>
      </c>
      <c r="E392" t="s">
        <v>11</v>
      </c>
      <c r="F392" t="s">
        <v>14</v>
      </c>
      <c r="G392">
        <v>10736.87075</v>
      </c>
      <c r="H392" t="str">
        <f t="shared" si="18"/>
        <v>40-49</v>
      </c>
      <c r="I392" t="str">
        <f t="shared" si="19"/>
        <v>Obese</v>
      </c>
      <c r="J392" t="str">
        <f t="shared" si="20"/>
        <v>No</v>
      </c>
    </row>
    <row r="393" spans="1:10" x14ac:dyDescent="0.25">
      <c r="A393">
        <v>19</v>
      </c>
      <c r="B393" t="s">
        <v>7</v>
      </c>
      <c r="C393">
        <v>37.43</v>
      </c>
      <c r="D393">
        <v>0</v>
      </c>
      <c r="E393" t="s">
        <v>11</v>
      </c>
      <c r="F393" t="s">
        <v>13</v>
      </c>
      <c r="G393">
        <v>2138.0707000000002</v>
      </c>
      <c r="H393" t="str">
        <f t="shared" si="18"/>
        <v>18-29</v>
      </c>
      <c r="I393" t="str">
        <f t="shared" si="19"/>
        <v>Obese</v>
      </c>
      <c r="J393" t="str">
        <f t="shared" si="20"/>
        <v>No</v>
      </c>
    </row>
    <row r="394" spans="1:10" x14ac:dyDescent="0.25">
      <c r="A394">
        <v>48</v>
      </c>
      <c r="B394" t="s">
        <v>10</v>
      </c>
      <c r="C394">
        <v>31.445</v>
      </c>
      <c r="D394">
        <v>1</v>
      </c>
      <c r="E394" t="s">
        <v>11</v>
      </c>
      <c r="F394" t="s">
        <v>14</v>
      </c>
      <c r="G394">
        <v>8964.0605500000001</v>
      </c>
      <c r="H394" t="str">
        <f t="shared" si="18"/>
        <v>40-49</v>
      </c>
      <c r="I394" t="str">
        <f t="shared" si="19"/>
        <v>Obese</v>
      </c>
      <c r="J394" t="str">
        <f t="shared" si="20"/>
        <v>No</v>
      </c>
    </row>
    <row r="395" spans="1:10" x14ac:dyDescent="0.25">
      <c r="A395">
        <v>49</v>
      </c>
      <c r="B395" t="s">
        <v>10</v>
      </c>
      <c r="C395">
        <v>31.35</v>
      </c>
      <c r="D395">
        <v>1</v>
      </c>
      <c r="E395" t="s">
        <v>11</v>
      </c>
      <c r="F395" t="s">
        <v>14</v>
      </c>
      <c r="G395">
        <v>9290.1394999999993</v>
      </c>
      <c r="H395" t="str">
        <f t="shared" si="18"/>
        <v>40-49</v>
      </c>
      <c r="I395" t="str">
        <f t="shared" si="19"/>
        <v>Obese</v>
      </c>
      <c r="J395" t="str">
        <f t="shared" si="20"/>
        <v>No</v>
      </c>
    </row>
    <row r="396" spans="1:10" x14ac:dyDescent="0.25">
      <c r="A396">
        <v>46</v>
      </c>
      <c r="B396" t="s">
        <v>7</v>
      </c>
      <c r="C396">
        <v>32.299999999999997</v>
      </c>
      <c r="D396">
        <v>2</v>
      </c>
      <c r="E396" t="s">
        <v>11</v>
      </c>
      <c r="F396" t="s">
        <v>14</v>
      </c>
      <c r="G396">
        <v>9411.0049999999992</v>
      </c>
      <c r="H396" t="str">
        <f t="shared" si="18"/>
        <v>40-49</v>
      </c>
      <c r="I396" t="str">
        <f t="shared" si="19"/>
        <v>Obese</v>
      </c>
      <c r="J396" t="str">
        <f t="shared" si="20"/>
        <v>No</v>
      </c>
    </row>
    <row r="397" spans="1:10" x14ac:dyDescent="0.25">
      <c r="A397">
        <v>46</v>
      </c>
      <c r="B397" t="s">
        <v>10</v>
      </c>
      <c r="C397">
        <v>19.855</v>
      </c>
      <c r="D397">
        <v>0</v>
      </c>
      <c r="E397" t="s">
        <v>11</v>
      </c>
      <c r="F397" t="s">
        <v>13</v>
      </c>
      <c r="G397">
        <v>7526.7064499999997</v>
      </c>
      <c r="H397" t="str">
        <f t="shared" si="18"/>
        <v>40-49</v>
      </c>
      <c r="I397" t="str">
        <f t="shared" si="19"/>
        <v>Normal</v>
      </c>
      <c r="J397" t="str">
        <f t="shared" si="20"/>
        <v>No</v>
      </c>
    </row>
    <row r="398" spans="1:10" x14ac:dyDescent="0.25">
      <c r="A398">
        <v>43</v>
      </c>
      <c r="B398" t="s">
        <v>7</v>
      </c>
      <c r="C398">
        <v>34.4</v>
      </c>
      <c r="D398">
        <v>3</v>
      </c>
      <c r="E398" t="s">
        <v>11</v>
      </c>
      <c r="F398" t="s">
        <v>9</v>
      </c>
      <c r="G398">
        <v>8522.0030000000006</v>
      </c>
      <c r="H398" t="str">
        <f t="shared" si="18"/>
        <v>40-49</v>
      </c>
      <c r="I398" t="str">
        <f t="shared" si="19"/>
        <v>Obese</v>
      </c>
      <c r="J398" t="str">
        <f t="shared" si="20"/>
        <v>No</v>
      </c>
    </row>
    <row r="399" spans="1:10" x14ac:dyDescent="0.25">
      <c r="A399">
        <v>21</v>
      </c>
      <c r="B399" t="s">
        <v>10</v>
      </c>
      <c r="C399">
        <v>31.02</v>
      </c>
      <c r="D399">
        <v>0</v>
      </c>
      <c r="E399" t="s">
        <v>11</v>
      </c>
      <c r="F399" t="s">
        <v>12</v>
      </c>
      <c r="G399">
        <v>16586.49771</v>
      </c>
      <c r="H399" t="str">
        <f t="shared" si="18"/>
        <v>18-29</v>
      </c>
      <c r="I399" t="str">
        <f t="shared" si="19"/>
        <v>Obese</v>
      </c>
      <c r="J399" t="str">
        <f t="shared" si="20"/>
        <v>No</v>
      </c>
    </row>
    <row r="400" spans="1:10" x14ac:dyDescent="0.25">
      <c r="A400">
        <v>64</v>
      </c>
      <c r="B400" t="s">
        <v>10</v>
      </c>
      <c r="C400">
        <v>25.6</v>
      </c>
      <c r="D400">
        <v>2</v>
      </c>
      <c r="E400" t="s">
        <v>11</v>
      </c>
      <c r="F400" t="s">
        <v>9</v>
      </c>
      <c r="G400">
        <v>14988.432000000001</v>
      </c>
      <c r="H400" t="str">
        <f t="shared" si="18"/>
        <v>60+</v>
      </c>
      <c r="I400" t="str">
        <f t="shared" si="19"/>
        <v>Overweight</v>
      </c>
      <c r="J400" t="str">
        <f t="shared" si="20"/>
        <v>No</v>
      </c>
    </row>
    <row r="401" spans="1:10" x14ac:dyDescent="0.25">
      <c r="A401">
        <v>18</v>
      </c>
      <c r="B401" t="s">
        <v>7</v>
      </c>
      <c r="C401">
        <v>38.17</v>
      </c>
      <c r="D401">
        <v>0</v>
      </c>
      <c r="E401" t="s">
        <v>11</v>
      </c>
      <c r="F401" t="s">
        <v>12</v>
      </c>
      <c r="G401">
        <v>1631.6683</v>
      </c>
      <c r="H401" t="str">
        <f t="shared" si="18"/>
        <v>18-29</v>
      </c>
      <c r="I401" t="str">
        <f t="shared" si="19"/>
        <v>Obese</v>
      </c>
      <c r="J401" t="str">
        <f t="shared" si="20"/>
        <v>No</v>
      </c>
    </row>
    <row r="402" spans="1:10" x14ac:dyDescent="0.25">
      <c r="A402">
        <v>51</v>
      </c>
      <c r="B402" t="s">
        <v>7</v>
      </c>
      <c r="C402">
        <v>20.6</v>
      </c>
      <c r="D402">
        <v>0</v>
      </c>
      <c r="E402" t="s">
        <v>11</v>
      </c>
      <c r="F402" t="s">
        <v>9</v>
      </c>
      <c r="G402">
        <v>9264.7970000000005</v>
      </c>
      <c r="H402" t="str">
        <f t="shared" si="18"/>
        <v>50-59</v>
      </c>
      <c r="I402" t="str">
        <f t="shared" si="19"/>
        <v>Normal</v>
      </c>
      <c r="J402" t="str">
        <f t="shared" si="20"/>
        <v>No</v>
      </c>
    </row>
    <row r="403" spans="1:10" x14ac:dyDescent="0.25">
      <c r="A403">
        <v>47</v>
      </c>
      <c r="B403" t="s">
        <v>10</v>
      </c>
      <c r="C403">
        <v>47.52</v>
      </c>
      <c r="D403">
        <v>1</v>
      </c>
      <c r="E403" t="s">
        <v>11</v>
      </c>
      <c r="F403" t="s">
        <v>12</v>
      </c>
      <c r="G403">
        <v>8083.9197999999997</v>
      </c>
      <c r="H403" t="str">
        <f t="shared" si="18"/>
        <v>40-49</v>
      </c>
      <c r="I403" t="str">
        <f t="shared" si="19"/>
        <v>Obese</v>
      </c>
      <c r="J403" t="str">
        <f t="shared" si="20"/>
        <v>No</v>
      </c>
    </row>
    <row r="404" spans="1:10" x14ac:dyDescent="0.25">
      <c r="A404">
        <v>64</v>
      </c>
      <c r="B404" t="s">
        <v>7</v>
      </c>
      <c r="C404">
        <v>32.965000000000003</v>
      </c>
      <c r="D404">
        <v>0</v>
      </c>
      <c r="E404" t="s">
        <v>11</v>
      </c>
      <c r="F404" t="s">
        <v>13</v>
      </c>
      <c r="G404">
        <v>14692.66935</v>
      </c>
      <c r="H404" t="str">
        <f t="shared" si="18"/>
        <v>60+</v>
      </c>
      <c r="I404" t="str">
        <f t="shared" si="19"/>
        <v>Obese</v>
      </c>
      <c r="J404" t="str">
        <f t="shared" si="20"/>
        <v>No</v>
      </c>
    </row>
    <row r="405" spans="1:10" x14ac:dyDescent="0.25">
      <c r="A405">
        <v>49</v>
      </c>
      <c r="B405" t="s">
        <v>10</v>
      </c>
      <c r="C405">
        <v>32.299999999999997</v>
      </c>
      <c r="D405">
        <v>3</v>
      </c>
      <c r="E405" t="s">
        <v>11</v>
      </c>
      <c r="F405" t="s">
        <v>13</v>
      </c>
      <c r="G405">
        <v>10269.459999999999</v>
      </c>
      <c r="H405" t="str">
        <f t="shared" si="18"/>
        <v>40-49</v>
      </c>
      <c r="I405" t="str">
        <f t="shared" si="19"/>
        <v>Obese</v>
      </c>
      <c r="J405" t="str">
        <f t="shared" si="20"/>
        <v>No</v>
      </c>
    </row>
    <row r="406" spans="1:10" x14ac:dyDescent="0.25">
      <c r="A406">
        <v>31</v>
      </c>
      <c r="B406" t="s">
        <v>10</v>
      </c>
      <c r="C406">
        <v>20.399999999999999</v>
      </c>
      <c r="D406">
        <v>0</v>
      </c>
      <c r="E406" t="s">
        <v>11</v>
      </c>
      <c r="F406" t="s">
        <v>9</v>
      </c>
      <c r="G406">
        <v>3260.1990000000001</v>
      </c>
      <c r="H406" t="str">
        <f t="shared" si="18"/>
        <v>30-39</v>
      </c>
      <c r="I406" t="str">
        <f t="shared" si="19"/>
        <v>Normal</v>
      </c>
      <c r="J406" t="str">
        <f t="shared" si="20"/>
        <v>No</v>
      </c>
    </row>
    <row r="407" spans="1:10" x14ac:dyDescent="0.25">
      <c r="A407">
        <v>52</v>
      </c>
      <c r="B407" t="s">
        <v>7</v>
      </c>
      <c r="C407">
        <v>38.380000000000003</v>
      </c>
      <c r="D407">
        <v>2</v>
      </c>
      <c r="E407" t="s">
        <v>11</v>
      </c>
      <c r="F407" t="s">
        <v>14</v>
      </c>
      <c r="G407">
        <v>11396.9002</v>
      </c>
      <c r="H407" t="str">
        <f t="shared" si="18"/>
        <v>50-59</v>
      </c>
      <c r="I407" t="str">
        <f t="shared" si="19"/>
        <v>Obese</v>
      </c>
      <c r="J407" t="str">
        <f t="shared" si="20"/>
        <v>No</v>
      </c>
    </row>
    <row r="408" spans="1:10" x14ac:dyDescent="0.25">
      <c r="A408">
        <v>33</v>
      </c>
      <c r="B408" t="s">
        <v>7</v>
      </c>
      <c r="C408">
        <v>24.31</v>
      </c>
      <c r="D408">
        <v>0</v>
      </c>
      <c r="E408" t="s">
        <v>11</v>
      </c>
      <c r="F408" t="s">
        <v>12</v>
      </c>
      <c r="G408">
        <v>4185.0978999999998</v>
      </c>
      <c r="H408" t="str">
        <f t="shared" si="18"/>
        <v>30-39</v>
      </c>
      <c r="I408" t="str">
        <f t="shared" si="19"/>
        <v>Normal</v>
      </c>
      <c r="J408" t="str">
        <f t="shared" si="20"/>
        <v>No</v>
      </c>
    </row>
    <row r="409" spans="1:10" x14ac:dyDescent="0.25">
      <c r="A409">
        <v>47</v>
      </c>
      <c r="B409" t="s">
        <v>7</v>
      </c>
      <c r="C409">
        <v>23.6</v>
      </c>
      <c r="D409">
        <v>1</v>
      </c>
      <c r="E409" t="s">
        <v>11</v>
      </c>
      <c r="F409" t="s">
        <v>9</v>
      </c>
      <c r="G409">
        <v>8539.6710000000003</v>
      </c>
      <c r="H409" t="str">
        <f t="shared" si="18"/>
        <v>40-49</v>
      </c>
      <c r="I409" t="str">
        <f t="shared" si="19"/>
        <v>Normal</v>
      </c>
      <c r="J409" t="str">
        <f t="shared" si="20"/>
        <v>No</v>
      </c>
    </row>
    <row r="410" spans="1:10" x14ac:dyDescent="0.25">
      <c r="A410">
        <v>38</v>
      </c>
      <c r="B410" t="s">
        <v>10</v>
      </c>
      <c r="C410">
        <v>21.12</v>
      </c>
      <c r="D410">
        <v>3</v>
      </c>
      <c r="E410" t="s">
        <v>11</v>
      </c>
      <c r="F410" t="s">
        <v>12</v>
      </c>
      <c r="G410">
        <v>6652.5288</v>
      </c>
      <c r="H410" t="str">
        <f t="shared" si="18"/>
        <v>30-39</v>
      </c>
      <c r="I410" t="str">
        <f t="shared" si="19"/>
        <v>Normal</v>
      </c>
      <c r="J410" t="str">
        <f t="shared" si="20"/>
        <v>No</v>
      </c>
    </row>
    <row r="411" spans="1:10" x14ac:dyDescent="0.25">
      <c r="A411">
        <v>32</v>
      </c>
      <c r="B411" t="s">
        <v>10</v>
      </c>
      <c r="C411">
        <v>30.03</v>
      </c>
      <c r="D411">
        <v>1</v>
      </c>
      <c r="E411" t="s">
        <v>11</v>
      </c>
      <c r="F411" t="s">
        <v>12</v>
      </c>
      <c r="G411">
        <v>4074.4537</v>
      </c>
      <c r="H411" t="str">
        <f t="shared" si="18"/>
        <v>30-39</v>
      </c>
      <c r="I411" t="str">
        <f t="shared" si="19"/>
        <v>Obese</v>
      </c>
      <c r="J411" t="str">
        <f t="shared" si="20"/>
        <v>No</v>
      </c>
    </row>
    <row r="412" spans="1:10" x14ac:dyDescent="0.25">
      <c r="A412">
        <v>19</v>
      </c>
      <c r="B412" t="s">
        <v>10</v>
      </c>
      <c r="C412">
        <v>17.48</v>
      </c>
      <c r="D412">
        <v>0</v>
      </c>
      <c r="E412" t="s">
        <v>11</v>
      </c>
      <c r="F412" t="s">
        <v>13</v>
      </c>
      <c r="G412">
        <v>1621.3402000000001</v>
      </c>
      <c r="H412" t="str">
        <f t="shared" si="18"/>
        <v>18-29</v>
      </c>
      <c r="I412" t="str">
        <f t="shared" si="19"/>
        <v>Underweight</v>
      </c>
      <c r="J412" t="str">
        <f t="shared" si="20"/>
        <v>No</v>
      </c>
    </row>
    <row r="413" spans="1:10" x14ac:dyDescent="0.25">
      <c r="A413">
        <v>44</v>
      </c>
      <c r="B413" t="s">
        <v>7</v>
      </c>
      <c r="C413">
        <v>20.234999999999999</v>
      </c>
      <c r="D413">
        <v>1</v>
      </c>
      <c r="E413" t="s">
        <v>8</v>
      </c>
      <c r="F413" t="s">
        <v>14</v>
      </c>
      <c r="G413">
        <v>19594.809649999999</v>
      </c>
      <c r="H413" t="str">
        <f t="shared" si="18"/>
        <v>40-49</v>
      </c>
      <c r="I413" t="str">
        <f t="shared" si="19"/>
        <v>Normal</v>
      </c>
      <c r="J413" t="str">
        <f t="shared" si="20"/>
        <v>No</v>
      </c>
    </row>
    <row r="414" spans="1:10" x14ac:dyDescent="0.25">
      <c r="A414">
        <v>26</v>
      </c>
      <c r="B414" t="s">
        <v>7</v>
      </c>
      <c r="C414">
        <v>17.195</v>
      </c>
      <c r="D414">
        <v>2</v>
      </c>
      <c r="E414" t="s">
        <v>8</v>
      </c>
      <c r="F414" t="s">
        <v>14</v>
      </c>
      <c r="G414">
        <v>14455.644050000001</v>
      </c>
      <c r="H414" t="str">
        <f t="shared" si="18"/>
        <v>18-29</v>
      </c>
      <c r="I414" t="str">
        <f t="shared" si="19"/>
        <v>Underweight</v>
      </c>
      <c r="J414" t="str">
        <f t="shared" si="20"/>
        <v>No</v>
      </c>
    </row>
    <row r="415" spans="1:10" x14ac:dyDescent="0.25">
      <c r="A415">
        <v>25</v>
      </c>
      <c r="B415" t="s">
        <v>10</v>
      </c>
      <c r="C415">
        <v>23.9</v>
      </c>
      <c r="D415">
        <v>5</v>
      </c>
      <c r="E415" t="s">
        <v>11</v>
      </c>
      <c r="F415" t="s">
        <v>9</v>
      </c>
      <c r="G415">
        <v>5080.0959999999995</v>
      </c>
      <c r="H415" t="str">
        <f t="shared" si="18"/>
        <v>18-29</v>
      </c>
      <c r="I415" t="str">
        <f t="shared" si="19"/>
        <v>Normal</v>
      </c>
      <c r="J415" t="str">
        <f t="shared" si="20"/>
        <v>No</v>
      </c>
    </row>
    <row r="416" spans="1:10" x14ac:dyDescent="0.25">
      <c r="A416">
        <v>19</v>
      </c>
      <c r="B416" t="s">
        <v>7</v>
      </c>
      <c r="C416">
        <v>35.15</v>
      </c>
      <c r="D416">
        <v>0</v>
      </c>
      <c r="E416" t="s">
        <v>11</v>
      </c>
      <c r="F416" t="s">
        <v>13</v>
      </c>
      <c r="G416">
        <v>2134.9014999999999</v>
      </c>
      <c r="H416" t="str">
        <f t="shared" si="18"/>
        <v>18-29</v>
      </c>
      <c r="I416" t="str">
        <f t="shared" si="19"/>
        <v>Obese</v>
      </c>
      <c r="J416" t="str">
        <f t="shared" si="20"/>
        <v>No</v>
      </c>
    </row>
    <row r="417" spans="1:10" x14ac:dyDescent="0.25">
      <c r="A417">
        <v>43</v>
      </c>
      <c r="B417" t="s">
        <v>7</v>
      </c>
      <c r="C417">
        <v>35.64</v>
      </c>
      <c r="D417">
        <v>1</v>
      </c>
      <c r="E417" t="s">
        <v>11</v>
      </c>
      <c r="F417" t="s">
        <v>12</v>
      </c>
      <c r="G417">
        <v>7345.7266</v>
      </c>
      <c r="H417" t="str">
        <f t="shared" si="18"/>
        <v>40-49</v>
      </c>
      <c r="I417" t="str">
        <f t="shared" si="19"/>
        <v>Obese</v>
      </c>
      <c r="J417" t="str">
        <f t="shared" si="20"/>
        <v>No</v>
      </c>
    </row>
    <row r="418" spans="1:10" x14ac:dyDescent="0.25">
      <c r="A418">
        <v>52</v>
      </c>
      <c r="B418" t="s">
        <v>10</v>
      </c>
      <c r="C418">
        <v>34.1</v>
      </c>
      <c r="D418">
        <v>0</v>
      </c>
      <c r="E418" t="s">
        <v>11</v>
      </c>
      <c r="F418" t="s">
        <v>12</v>
      </c>
      <c r="G418">
        <v>9140.9509999999991</v>
      </c>
      <c r="H418" t="str">
        <f t="shared" si="18"/>
        <v>50-59</v>
      </c>
      <c r="I418" t="str">
        <f t="shared" si="19"/>
        <v>Obese</v>
      </c>
      <c r="J418" t="str">
        <f t="shared" si="20"/>
        <v>No</v>
      </c>
    </row>
    <row r="419" spans="1:10" x14ac:dyDescent="0.25">
      <c r="A419">
        <v>36</v>
      </c>
      <c r="B419" t="s">
        <v>7</v>
      </c>
      <c r="C419">
        <v>22.6</v>
      </c>
      <c r="D419">
        <v>2</v>
      </c>
      <c r="E419" t="s">
        <v>8</v>
      </c>
      <c r="F419" t="s">
        <v>9</v>
      </c>
      <c r="G419">
        <v>18608.261999999999</v>
      </c>
      <c r="H419" t="str">
        <f t="shared" si="18"/>
        <v>30-39</v>
      </c>
      <c r="I419" t="str">
        <f t="shared" si="19"/>
        <v>Normal</v>
      </c>
      <c r="J419" t="str">
        <f t="shared" si="20"/>
        <v>No</v>
      </c>
    </row>
    <row r="420" spans="1:10" x14ac:dyDescent="0.25">
      <c r="A420">
        <v>64</v>
      </c>
      <c r="B420" t="s">
        <v>10</v>
      </c>
      <c r="C420">
        <v>39.159999999999997</v>
      </c>
      <c r="D420">
        <v>1</v>
      </c>
      <c r="E420" t="s">
        <v>11</v>
      </c>
      <c r="F420" t="s">
        <v>12</v>
      </c>
      <c r="G420">
        <v>14418.2804</v>
      </c>
      <c r="H420" t="str">
        <f t="shared" si="18"/>
        <v>60+</v>
      </c>
      <c r="I420" t="str">
        <f t="shared" si="19"/>
        <v>Obese</v>
      </c>
      <c r="J420" t="str">
        <f t="shared" si="20"/>
        <v>No</v>
      </c>
    </row>
    <row r="421" spans="1:10" x14ac:dyDescent="0.25">
      <c r="A421">
        <v>63</v>
      </c>
      <c r="B421" t="s">
        <v>7</v>
      </c>
      <c r="C421">
        <v>26.98</v>
      </c>
      <c r="D421">
        <v>0</v>
      </c>
      <c r="E421" t="s">
        <v>8</v>
      </c>
      <c r="F421" t="s">
        <v>13</v>
      </c>
      <c r="G421">
        <v>28950.4692</v>
      </c>
      <c r="H421" t="str">
        <f t="shared" si="18"/>
        <v>60+</v>
      </c>
      <c r="I421" t="str">
        <f t="shared" si="19"/>
        <v>Overweight</v>
      </c>
      <c r="J421" t="str">
        <f t="shared" si="20"/>
        <v>Yes</v>
      </c>
    </row>
    <row r="422" spans="1:10" x14ac:dyDescent="0.25">
      <c r="A422">
        <v>64</v>
      </c>
      <c r="B422" t="s">
        <v>10</v>
      </c>
      <c r="C422">
        <v>33.880000000000003</v>
      </c>
      <c r="D422">
        <v>0</v>
      </c>
      <c r="E422" t="s">
        <v>8</v>
      </c>
      <c r="F422" t="s">
        <v>12</v>
      </c>
      <c r="G422">
        <v>46889.261200000001</v>
      </c>
      <c r="H422" t="str">
        <f t="shared" si="18"/>
        <v>60+</v>
      </c>
      <c r="I422" t="str">
        <f t="shared" si="19"/>
        <v>Obese</v>
      </c>
      <c r="J422" t="str">
        <f t="shared" si="20"/>
        <v>Yes</v>
      </c>
    </row>
    <row r="423" spans="1:10" x14ac:dyDescent="0.25">
      <c r="A423">
        <v>61</v>
      </c>
      <c r="B423" t="s">
        <v>10</v>
      </c>
      <c r="C423">
        <v>35.86</v>
      </c>
      <c r="D423">
        <v>0</v>
      </c>
      <c r="E423" t="s">
        <v>8</v>
      </c>
      <c r="F423" t="s">
        <v>12</v>
      </c>
      <c r="G423">
        <v>46599.108399999997</v>
      </c>
      <c r="H423" t="str">
        <f t="shared" si="18"/>
        <v>60+</v>
      </c>
      <c r="I423" t="str">
        <f t="shared" si="19"/>
        <v>Obese</v>
      </c>
      <c r="J423" t="str">
        <f t="shared" si="20"/>
        <v>Yes</v>
      </c>
    </row>
    <row r="424" spans="1:10" x14ac:dyDescent="0.25">
      <c r="A424">
        <v>40</v>
      </c>
      <c r="B424" t="s">
        <v>10</v>
      </c>
      <c r="C424">
        <v>32.774999999999999</v>
      </c>
      <c r="D424">
        <v>1</v>
      </c>
      <c r="E424" t="s">
        <v>8</v>
      </c>
      <c r="F424" t="s">
        <v>14</v>
      </c>
      <c r="G424">
        <v>39125.332249999999</v>
      </c>
      <c r="H424" t="str">
        <f t="shared" si="18"/>
        <v>40-49</v>
      </c>
      <c r="I424" t="str">
        <f t="shared" si="19"/>
        <v>Obese</v>
      </c>
      <c r="J424" t="str">
        <f t="shared" si="20"/>
        <v>Yes</v>
      </c>
    </row>
    <row r="425" spans="1:10" x14ac:dyDescent="0.25">
      <c r="A425">
        <v>25</v>
      </c>
      <c r="B425" t="s">
        <v>10</v>
      </c>
      <c r="C425">
        <v>30.59</v>
      </c>
      <c r="D425">
        <v>0</v>
      </c>
      <c r="E425" t="s">
        <v>11</v>
      </c>
      <c r="F425" t="s">
        <v>14</v>
      </c>
      <c r="G425">
        <v>2727.3951000000002</v>
      </c>
      <c r="H425" t="str">
        <f t="shared" si="18"/>
        <v>18-29</v>
      </c>
      <c r="I425" t="str">
        <f t="shared" si="19"/>
        <v>Obese</v>
      </c>
      <c r="J425" t="str">
        <f t="shared" si="20"/>
        <v>No</v>
      </c>
    </row>
    <row r="426" spans="1:10" x14ac:dyDescent="0.25">
      <c r="A426">
        <v>48</v>
      </c>
      <c r="B426" t="s">
        <v>10</v>
      </c>
      <c r="C426">
        <v>30.2</v>
      </c>
      <c r="D426">
        <v>2</v>
      </c>
      <c r="E426" t="s">
        <v>11</v>
      </c>
      <c r="F426" t="s">
        <v>9</v>
      </c>
      <c r="G426">
        <v>8968.33</v>
      </c>
      <c r="H426" t="str">
        <f t="shared" si="18"/>
        <v>40-49</v>
      </c>
      <c r="I426" t="str">
        <f t="shared" si="19"/>
        <v>Obese</v>
      </c>
      <c r="J426" t="str">
        <f t="shared" si="20"/>
        <v>No</v>
      </c>
    </row>
    <row r="427" spans="1:10" x14ac:dyDescent="0.25">
      <c r="A427">
        <v>45</v>
      </c>
      <c r="B427" t="s">
        <v>10</v>
      </c>
      <c r="C427">
        <v>24.31</v>
      </c>
      <c r="D427">
        <v>5</v>
      </c>
      <c r="E427" t="s">
        <v>11</v>
      </c>
      <c r="F427" t="s">
        <v>12</v>
      </c>
      <c r="G427">
        <v>9788.8659000000007</v>
      </c>
      <c r="H427" t="str">
        <f t="shared" si="18"/>
        <v>40-49</v>
      </c>
      <c r="I427" t="str">
        <f t="shared" si="19"/>
        <v>Normal</v>
      </c>
      <c r="J427" t="str">
        <f t="shared" si="20"/>
        <v>No</v>
      </c>
    </row>
    <row r="428" spans="1:10" x14ac:dyDescent="0.25">
      <c r="A428">
        <v>38</v>
      </c>
      <c r="B428" t="s">
        <v>7</v>
      </c>
      <c r="C428">
        <v>27.265000000000001</v>
      </c>
      <c r="D428">
        <v>1</v>
      </c>
      <c r="E428" t="s">
        <v>11</v>
      </c>
      <c r="F428" t="s">
        <v>14</v>
      </c>
      <c r="G428">
        <v>6555.07035</v>
      </c>
      <c r="H428" t="str">
        <f t="shared" si="18"/>
        <v>30-39</v>
      </c>
      <c r="I428" t="str">
        <f t="shared" si="19"/>
        <v>Overweight</v>
      </c>
      <c r="J428" t="str">
        <f t="shared" si="20"/>
        <v>No</v>
      </c>
    </row>
    <row r="429" spans="1:10" x14ac:dyDescent="0.25">
      <c r="A429">
        <v>18</v>
      </c>
      <c r="B429" t="s">
        <v>7</v>
      </c>
      <c r="C429">
        <v>29.164999999999999</v>
      </c>
      <c r="D429">
        <v>0</v>
      </c>
      <c r="E429" t="s">
        <v>11</v>
      </c>
      <c r="F429" t="s">
        <v>14</v>
      </c>
      <c r="G429">
        <v>7323.7348190000002</v>
      </c>
      <c r="H429" t="str">
        <f t="shared" si="18"/>
        <v>18-29</v>
      </c>
      <c r="I429" t="str">
        <f t="shared" si="19"/>
        <v>Overweight</v>
      </c>
      <c r="J429" t="str">
        <f t="shared" si="20"/>
        <v>No</v>
      </c>
    </row>
    <row r="430" spans="1:10" x14ac:dyDescent="0.25">
      <c r="A430">
        <v>21</v>
      </c>
      <c r="B430" t="s">
        <v>7</v>
      </c>
      <c r="C430">
        <v>16.815000000000001</v>
      </c>
      <c r="D430">
        <v>1</v>
      </c>
      <c r="E430" t="s">
        <v>11</v>
      </c>
      <c r="F430" t="s">
        <v>14</v>
      </c>
      <c r="G430">
        <v>3167.4558499999998</v>
      </c>
      <c r="H430" t="str">
        <f t="shared" si="18"/>
        <v>18-29</v>
      </c>
      <c r="I430" t="str">
        <f t="shared" si="19"/>
        <v>Underweight</v>
      </c>
      <c r="J430" t="str">
        <f t="shared" si="20"/>
        <v>No</v>
      </c>
    </row>
    <row r="431" spans="1:10" x14ac:dyDescent="0.25">
      <c r="A431">
        <v>27</v>
      </c>
      <c r="B431" t="s">
        <v>7</v>
      </c>
      <c r="C431">
        <v>30.4</v>
      </c>
      <c r="D431">
        <v>3</v>
      </c>
      <c r="E431" t="s">
        <v>11</v>
      </c>
      <c r="F431" t="s">
        <v>13</v>
      </c>
      <c r="G431">
        <v>18804.752400000001</v>
      </c>
      <c r="H431" t="str">
        <f t="shared" si="18"/>
        <v>18-29</v>
      </c>
      <c r="I431" t="str">
        <f t="shared" si="19"/>
        <v>Obese</v>
      </c>
      <c r="J431" t="str">
        <f t="shared" si="20"/>
        <v>No</v>
      </c>
    </row>
    <row r="432" spans="1:10" x14ac:dyDescent="0.25">
      <c r="A432">
        <v>19</v>
      </c>
      <c r="B432" t="s">
        <v>10</v>
      </c>
      <c r="C432">
        <v>33.1</v>
      </c>
      <c r="D432">
        <v>0</v>
      </c>
      <c r="E432" t="s">
        <v>11</v>
      </c>
      <c r="F432" t="s">
        <v>9</v>
      </c>
      <c r="G432">
        <v>23082.955330000001</v>
      </c>
      <c r="H432" t="str">
        <f t="shared" si="18"/>
        <v>18-29</v>
      </c>
      <c r="I432" t="str">
        <f t="shared" si="19"/>
        <v>Obese</v>
      </c>
      <c r="J432" t="str">
        <f t="shared" si="20"/>
        <v>Yes</v>
      </c>
    </row>
    <row r="433" spans="1:10" x14ac:dyDescent="0.25">
      <c r="A433">
        <v>29</v>
      </c>
      <c r="B433" t="s">
        <v>7</v>
      </c>
      <c r="C433">
        <v>20.234999999999999</v>
      </c>
      <c r="D433">
        <v>2</v>
      </c>
      <c r="E433" t="s">
        <v>11</v>
      </c>
      <c r="F433" t="s">
        <v>13</v>
      </c>
      <c r="G433">
        <v>4906.4096499999996</v>
      </c>
      <c r="H433" t="str">
        <f t="shared" si="18"/>
        <v>18-29</v>
      </c>
      <c r="I433" t="str">
        <f t="shared" si="19"/>
        <v>Normal</v>
      </c>
      <c r="J433" t="str">
        <f t="shared" si="20"/>
        <v>No</v>
      </c>
    </row>
    <row r="434" spans="1:10" x14ac:dyDescent="0.25">
      <c r="A434">
        <v>42</v>
      </c>
      <c r="B434" t="s">
        <v>10</v>
      </c>
      <c r="C434">
        <v>26.9</v>
      </c>
      <c r="D434">
        <v>0</v>
      </c>
      <c r="E434" t="s">
        <v>11</v>
      </c>
      <c r="F434" t="s">
        <v>9</v>
      </c>
      <c r="G434">
        <v>5969.723</v>
      </c>
      <c r="H434" t="str">
        <f t="shared" si="18"/>
        <v>40-49</v>
      </c>
      <c r="I434" t="str">
        <f t="shared" si="19"/>
        <v>Overweight</v>
      </c>
      <c r="J434" t="str">
        <f t="shared" si="20"/>
        <v>No</v>
      </c>
    </row>
    <row r="435" spans="1:10" x14ac:dyDescent="0.25">
      <c r="A435">
        <v>60</v>
      </c>
      <c r="B435" t="s">
        <v>7</v>
      </c>
      <c r="C435">
        <v>30.5</v>
      </c>
      <c r="D435">
        <v>0</v>
      </c>
      <c r="E435" t="s">
        <v>11</v>
      </c>
      <c r="F435" t="s">
        <v>9</v>
      </c>
      <c r="G435">
        <v>12638.195</v>
      </c>
      <c r="H435" t="str">
        <f t="shared" si="18"/>
        <v>60+</v>
      </c>
      <c r="I435" t="str">
        <f t="shared" si="19"/>
        <v>Obese</v>
      </c>
      <c r="J435" t="str">
        <f t="shared" si="20"/>
        <v>No</v>
      </c>
    </row>
    <row r="436" spans="1:10" x14ac:dyDescent="0.25">
      <c r="A436">
        <v>31</v>
      </c>
      <c r="B436" t="s">
        <v>10</v>
      </c>
      <c r="C436">
        <v>28.594999999999999</v>
      </c>
      <c r="D436">
        <v>1</v>
      </c>
      <c r="E436" t="s">
        <v>11</v>
      </c>
      <c r="F436" t="s">
        <v>13</v>
      </c>
      <c r="G436">
        <v>4243.5900499999998</v>
      </c>
      <c r="H436" t="str">
        <f t="shared" si="18"/>
        <v>30-39</v>
      </c>
      <c r="I436" t="str">
        <f t="shared" si="19"/>
        <v>Overweight</v>
      </c>
      <c r="J436" t="str">
        <f t="shared" si="20"/>
        <v>No</v>
      </c>
    </row>
    <row r="437" spans="1:10" x14ac:dyDescent="0.25">
      <c r="A437">
        <v>60</v>
      </c>
      <c r="B437" t="s">
        <v>10</v>
      </c>
      <c r="C437">
        <v>33.11</v>
      </c>
      <c r="D437">
        <v>3</v>
      </c>
      <c r="E437" t="s">
        <v>11</v>
      </c>
      <c r="F437" t="s">
        <v>12</v>
      </c>
      <c r="G437">
        <v>13919.822899999999</v>
      </c>
      <c r="H437" t="str">
        <f t="shared" si="18"/>
        <v>60+</v>
      </c>
      <c r="I437" t="str">
        <f t="shared" si="19"/>
        <v>Obese</v>
      </c>
      <c r="J437" t="str">
        <f t="shared" si="20"/>
        <v>No</v>
      </c>
    </row>
    <row r="438" spans="1:10" x14ac:dyDescent="0.25">
      <c r="A438">
        <v>22</v>
      </c>
      <c r="B438" t="s">
        <v>10</v>
      </c>
      <c r="C438">
        <v>31.73</v>
      </c>
      <c r="D438">
        <v>0</v>
      </c>
      <c r="E438" t="s">
        <v>11</v>
      </c>
      <c r="F438" t="s">
        <v>14</v>
      </c>
      <c r="G438">
        <v>2254.7966999999999</v>
      </c>
      <c r="H438" t="str">
        <f t="shared" si="18"/>
        <v>18-29</v>
      </c>
      <c r="I438" t="str">
        <f t="shared" si="19"/>
        <v>Obese</v>
      </c>
      <c r="J438" t="str">
        <f t="shared" si="20"/>
        <v>No</v>
      </c>
    </row>
    <row r="439" spans="1:10" x14ac:dyDescent="0.25">
      <c r="A439">
        <v>35</v>
      </c>
      <c r="B439" t="s">
        <v>10</v>
      </c>
      <c r="C439">
        <v>28.9</v>
      </c>
      <c r="D439">
        <v>3</v>
      </c>
      <c r="E439" t="s">
        <v>11</v>
      </c>
      <c r="F439" t="s">
        <v>9</v>
      </c>
      <c r="G439">
        <v>5926.8459999999995</v>
      </c>
      <c r="H439" t="str">
        <f t="shared" si="18"/>
        <v>30-39</v>
      </c>
      <c r="I439" t="str">
        <f t="shared" si="19"/>
        <v>Overweight</v>
      </c>
      <c r="J439" t="str">
        <f t="shared" si="20"/>
        <v>No</v>
      </c>
    </row>
    <row r="440" spans="1:10" x14ac:dyDescent="0.25">
      <c r="A440">
        <v>52</v>
      </c>
      <c r="B440" t="s">
        <v>7</v>
      </c>
      <c r="C440">
        <v>46.75</v>
      </c>
      <c r="D440">
        <v>5</v>
      </c>
      <c r="E440" t="s">
        <v>11</v>
      </c>
      <c r="F440" t="s">
        <v>12</v>
      </c>
      <c r="G440">
        <v>12592.5345</v>
      </c>
      <c r="H440" t="str">
        <f t="shared" si="18"/>
        <v>50-59</v>
      </c>
      <c r="I440" t="str">
        <f t="shared" si="19"/>
        <v>Obese</v>
      </c>
      <c r="J440" t="str">
        <f t="shared" si="20"/>
        <v>No</v>
      </c>
    </row>
    <row r="441" spans="1:10" x14ac:dyDescent="0.25">
      <c r="A441">
        <v>26</v>
      </c>
      <c r="B441" t="s">
        <v>10</v>
      </c>
      <c r="C441">
        <v>29.45</v>
      </c>
      <c r="D441">
        <v>0</v>
      </c>
      <c r="E441" t="s">
        <v>11</v>
      </c>
      <c r="F441" t="s">
        <v>14</v>
      </c>
      <c r="G441">
        <v>2897.3235</v>
      </c>
      <c r="H441" t="str">
        <f t="shared" si="18"/>
        <v>18-29</v>
      </c>
      <c r="I441" t="str">
        <f t="shared" si="19"/>
        <v>Overweight</v>
      </c>
      <c r="J441" t="str">
        <f t="shared" si="20"/>
        <v>No</v>
      </c>
    </row>
    <row r="442" spans="1:10" x14ac:dyDescent="0.25">
      <c r="A442">
        <v>31</v>
      </c>
      <c r="B442" t="s">
        <v>7</v>
      </c>
      <c r="C442">
        <v>32.68</v>
      </c>
      <c r="D442">
        <v>1</v>
      </c>
      <c r="E442" t="s">
        <v>11</v>
      </c>
      <c r="F442" t="s">
        <v>13</v>
      </c>
      <c r="G442">
        <v>4738.2682000000004</v>
      </c>
      <c r="H442" t="str">
        <f t="shared" si="18"/>
        <v>30-39</v>
      </c>
      <c r="I442" t="str">
        <f t="shared" si="19"/>
        <v>Obese</v>
      </c>
      <c r="J442" t="str">
        <f t="shared" si="20"/>
        <v>No</v>
      </c>
    </row>
    <row r="443" spans="1:10" x14ac:dyDescent="0.25">
      <c r="A443">
        <v>33</v>
      </c>
      <c r="B443" t="s">
        <v>7</v>
      </c>
      <c r="C443">
        <v>33.5</v>
      </c>
      <c r="D443">
        <v>0</v>
      </c>
      <c r="E443" t="s">
        <v>8</v>
      </c>
      <c r="F443" t="s">
        <v>9</v>
      </c>
      <c r="G443">
        <v>37079.372000000003</v>
      </c>
      <c r="H443" t="str">
        <f t="shared" si="18"/>
        <v>30-39</v>
      </c>
      <c r="I443" t="str">
        <f t="shared" si="19"/>
        <v>Obese</v>
      </c>
      <c r="J443" t="str">
        <f t="shared" si="20"/>
        <v>Yes</v>
      </c>
    </row>
    <row r="444" spans="1:10" x14ac:dyDescent="0.25">
      <c r="A444">
        <v>18</v>
      </c>
      <c r="B444" t="s">
        <v>10</v>
      </c>
      <c r="C444">
        <v>43.01</v>
      </c>
      <c r="D444">
        <v>0</v>
      </c>
      <c r="E444" t="s">
        <v>11</v>
      </c>
      <c r="F444" t="s">
        <v>12</v>
      </c>
      <c r="G444">
        <v>1149.3959</v>
      </c>
      <c r="H444" t="str">
        <f t="shared" si="18"/>
        <v>18-29</v>
      </c>
      <c r="I444" t="str">
        <f t="shared" si="19"/>
        <v>Obese</v>
      </c>
      <c r="J444" t="str">
        <f t="shared" si="20"/>
        <v>No</v>
      </c>
    </row>
    <row r="445" spans="1:10" x14ac:dyDescent="0.25">
      <c r="A445">
        <v>59</v>
      </c>
      <c r="B445" t="s">
        <v>7</v>
      </c>
      <c r="C445">
        <v>36.520000000000003</v>
      </c>
      <c r="D445">
        <v>1</v>
      </c>
      <c r="E445" t="s">
        <v>11</v>
      </c>
      <c r="F445" t="s">
        <v>12</v>
      </c>
      <c r="G445">
        <v>28287.897659999999</v>
      </c>
      <c r="H445" t="str">
        <f t="shared" si="18"/>
        <v>50-59</v>
      </c>
      <c r="I445" t="str">
        <f t="shared" si="19"/>
        <v>Obese</v>
      </c>
      <c r="J445" t="str">
        <f t="shared" si="20"/>
        <v>Yes</v>
      </c>
    </row>
    <row r="446" spans="1:10" x14ac:dyDescent="0.25">
      <c r="A446">
        <v>56</v>
      </c>
      <c r="B446" t="s">
        <v>10</v>
      </c>
      <c r="C446">
        <v>26.695</v>
      </c>
      <c r="D446">
        <v>1</v>
      </c>
      <c r="E446" t="s">
        <v>8</v>
      </c>
      <c r="F446" t="s">
        <v>13</v>
      </c>
      <c r="G446">
        <v>26109.32905</v>
      </c>
      <c r="H446" t="str">
        <f t="shared" si="18"/>
        <v>50-59</v>
      </c>
      <c r="I446" t="str">
        <f t="shared" si="19"/>
        <v>Overweight</v>
      </c>
      <c r="J446" t="str">
        <f t="shared" si="20"/>
        <v>Yes</v>
      </c>
    </row>
    <row r="447" spans="1:10" x14ac:dyDescent="0.25">
      <c r="A447">
        <v>45</v>
      </c>
      <c r="B447" t="s">
        <v>7</v>
      </c>
      <c r="C447">
        <v>33.1</v>
      </c>
      <c r="D447">
        <v>0</v>
      </c>
      <c r="E447" t="s">
        <v>11</v>
      </c>
      <c r="F447" t="s">
        <v>9</v>
      </c>
      <c r="G447">
        <v>7345.0839999999998</v>
      </c>
      <c r="H447" t="str">
        <f t="shared" si="18"/>
        <v>40-49</v>
      </c>
      <c r="I447" t="str">
        <f t="shared" si="19"/>
        <v>Obese</v>
      </c>
      <c r="J447" t="str">
        <f t="shared" si="20"/>
        <v>No</v>
      </c>
    </row>
    <row r="448" spans="1:10" x14ac:dyDescent="0.25">
      <c r="A448">
        <v>60</v>
      </c>
      <c r="B448" t="s">
        <v>10</v>
      </c>
      <c r="C448">
        <v>29.64</v>
      </c>
      <c r="D448">
        <v>0</v>
      </c>
      <c r="E448" t="s">
        <v>11</v>
      </c>
      <c r="F448" t="s">
        <v>14</v>
      </c>
      <c r="G448">
        <v>12730.999599999999</v>
      </c>
      <c r="H448" t="str">
        <f t="shared" si="18"/>
        <v>60+</v>
      </c>
      <c r="I448" t="str">
        <f t="shared" si="19"/>
        <v>Overweight</v>
      </c>
      <c r="J448" t="str">
        <f t="shared" si="20"/>
        <v>No</v>
      </c>
    </row>
    <row r="449" spans="1:10" x14ac:dyDescent="0.25">
      <c r="A449">
        <v>56</v>
      </c>
      <c r="B449" t="s">
        <v>7</v>
      </c>
      <c r="C449">
        <v>25.65</v>
      </c>
      <c r="D449">
        <v>0</v>
      </c>
      <c r="E449" t="s">
        <v>11</v>
      </c>
      <c r="F449" t="s">
        <v>13</v>
      </c>
      <c r="G449">
        <v>11454.021500000001</v>
      </c>
      <c r="H449" t="str">
        <f t="shared" si="18"/>
        <v>50-59</v>
      </c>
      <c r="I449" t="str">
        <f t="shared" si="19"/>
        <v>Overweight</v>
      </c>
      <c r="J449" t="str">
        <f t="shared" si="20"/>
        <v>No</v>
      </c>
    </row>
    <row r="450" spans="1:10" x14ac:dyDescent="0.25">
      <c r="A450">
        <v>40</v>
      </c>
      <c r="B450" t="s">
        <v>7</v>
      </c>
      <c r="C450">
        <v>29.6</v>
      </c>
      <c r="D450">
        <v>0</v>
      </c>
      <c r="E450" t="s">
        <v>11</v>
      </c>
      <c r="F450" t="s">
        <v>9</v>
      </c>
      <c r="G450">
        <v>5910.9440000000004</v>
      </c>
      <c r="H450" t="str">
        <f t="shared" ref="H450:H513" si="21">IF(A450&lt;30, "18-29", IF(A450&lt;40, "30-39", IF(A450&lt;50, "40-49", IF(A450&lt;60, "50-59", "60+"))))</f>
        <v>40-49</v>
      </c>
      <c r="I450" t="str">
        <f t="shared" ref="I450:I513" si="22">IF(C450&lt;18.5, "Underweight", IF(C450&lt;25, "Normal", IF(C450&lt;30,"Overweight","Obese")))</f>
        <v>Overweight</v>
      </c>
      <c r="J450" t="str">
        <f t="shared" ref="J450:J513" si="23">IF(G450&gt;20000,"Yes","No")</f>
        <v>No</v>
      </c>
    </row>
    <row r="451" spans="1:10" x14ac:dyDescent="0.25">
      <c r="A451">
        <v>35</v>
      </c>
      <c r="B451" t="s">
        <v>10</v>
      </c>
      <c r="C451">
        <v>38.6</v>
      </c>
      <c r="D451">
        <v>1</v>
      </c>
      <c r="E451" t="s">
        <v>11</v>
      </c>
      <c r="F451" t="s">
        <v>9</v>
      </c>
      <c r="G451">
        <v>4762.3289999999997</v>
      </c>
      <c r="H451" t="str">
        <f t="shared" si="21"/>
        <v>30-39</v>
      </c>
      <c r="I451" t="str">
        <f t="shared" si="22"/>
        <v>Obese</v>
      </c>
      <c r="J451" t="str">
        <f t="shared" si="23"/>
        <v>No</v>
      </c>
    </row>
    <row r="452" spans="1:10" x14ac:dyDescent="0.25">
      <c r="A452">
        <v>39</v>
      </c>
      <c r="B452" t="s">
        <v>10</v>
      </c>
      <c r="C452">
        <v>29.6</v>
      </c>
      <c r="D452">
        <v>4</v>
      </c>
      <c r="E452" t="s">
        <v>11</v>
      </c>
      <c r="F452" t="s">
        <v>9</v>
      </c>
      <c r="G452">
        <v>7512.2669999999998</v>
      </c>
      <c r="H452" t="str">
        <f t="shared" si="21"/>
        <v>30-39</v>
      </c>
      <c r="I452" t="str">
        <f t="shared" si="22"/>
        <v>Overweight</v>
      </c>
      <c r="J452" t="str">
        <f t="shared" si="23"/>
        <v>No</v>
      </c>
    </row>
    <row r="453" spans="1:10" x14ac:dyDescent="0.25">
      <c r="A453">
        <v>30</v>
      </c>
      <c r="B453" t="s">
        <v>10</v>
      </c>
      <c r="C453">
        <v>24.13</v>
      </c>
      <c r="D453">
        <v>1</v>
      </c>
      <c r="E453" t="s">
        <v>11</v>
      </c>
      <c r="F453" t="s">
        <v>13</v>
      </c>
      <c r="G453">
        <v>4032.2406999999998</v>
      </c>
      <c r="H453" t="str">
        <f t="shared" si="21"/>
        <v>30-39</v>
      </c>
      <c r="I453" t="str">
        <f t="shared" si="22"/>
        <v>Normal</v>
      </c>
      <c r="J453" t="str">
        <f t="shared" si="23"/>
        <v>No</v>
      </c>
    </row>
    <row r="454" spans="1:10" x14ac:dyDescent="0.25">
      <c r="A454">
        <v>24</v>
      </c>
      <c r="B454" t="s">
        <v>10</v>
      </c>
      <c r="C454">
        <v>23.4</v>
      </c>
      <c r="D454">
        <v>0</v>
      </c>
      <c r="E454" t="s">
        <v>11</v>
      </c>
      <c r="F454" t="s">
        <v>9</v>
      </c>
      <c r="G454">
        <v>1969.614</v>
      </c>
      <c r="H454" t="str">
        <f t="shared" si="21"/>
        <v>18-29</v>
      </c>
      <c r="I454" t="str">
        <f t="shared" si="22"/>
        <v>Normal</v>
      </c>
      <c r="J454" t="str">
        <f t="shared" si="23"/>
        <v>No</v>
      </c>
    </row>
    <row r="455" spans="1:10" x14ac:dyDescent="0.25">
      <c r="A455">
        <v>20</v>
      </c>
      <c r="B455" t="s">
        <v>10</v>
      </c>
      <c r="C455">
        <v>29.734999999999999</v>
      </c>
      <c r="D455">
        <v>0</v>
      </c>
      <c r="E455" t="s">
        <v>11</v>
      </c>
      <c r="F455" t="s">
        <v>13</v>
      </c>
      <c r="G455">
        <v>1769.5316499999999</v>
      </c>
      <c r="H455" t="str">
        <f t="shared" si="21"/>
        <v>18-29</v>
      </c>
      <c r="I455" t="str">
        <f t="shared" si="22"/>
        <v>Overweight</v>
      </c>
      <c r="J455" t="str">
        <f t="shared" si="23"/>
        <v>No</v>
      </c>
    </row>
    <row r="456" spans="1:10" x14ac:dyDescent="0.25">
      <c r="A456">
        <v>32</v>
      </c>
      <c r="B456" t="s">
        <v>10</v>
      </c>
      <c r="C456">
        <v>46.53</v>
      </c>
      <c r="D456">
        <v>2</v>
      </c>
      <c r="E456" t="s">
        <v>11</v>
      </c>
      <c r="F456" t="s">
        <v>12</v>
      </c>
      <c r="G456">
        <v>4686.3887000000004</v>
      </c>
      <c r="H456" t="str">
        <f t="shared" si="21"/>
        <v>30-39</v>
      </c>
      <c r="I456" t="str">
        <f t="shared" si="22"/>
        <v>Obese</v>
      </c>
      <c r="J456" t="str">
        <f t="shared" si="23"/>
        <v>No</v>
      </c>
    </row>
    <row r="457" spans="1:10" x14ac:dyDescent="0.25">
      <c r="A457">
        <v>59</v>
      </c>
      <c r="B457" t="s">
        <v>10</v>
      </c>
      <c r="C457">
        <v>37.4</v>
      </c>
      <c r="D457">
        <v>0</v>
      </c>
      <c r="E457" t="s">
        <v>11</v>
      </c>
      <c r="F457" t="s">
        <v>9</v>
      </c>
      <c r="G457">
        <v>21797.000400000001</v>
      </c>
      <c r="H457" t="str">
        <f t="shared" si="21"/>
        <v>50-59</v>
      </c>
      <c r="I457" t="str">
        <f t="shared" si="22"/>
        <v>Obese</v>
      </c>
      <c r="J457" t="str">
        <f t="shared" si="23"/>
        <v>Yes</v>
      </c>
    </row>
    <row r="458" spans="1:10" x14ac:dyDescent="0.25">
      <c r="A458">
        <v>55</v>
      </c>
      <c r="B458" t="s">
        <v>7</v>
      </c>
      <c r="C458">
        <v>30.14</v>
      </c>
      <c r="D458">
        <v>2</v>
      </c>
      <c r="E458" t="s">
        <v>11</v>
      </c>
      <c r="F458" t="s">
        <v>12</v>
      </c>
      <c r="G458">
        <v>11881.9696</v>
      </c>
      <c r="H458" t="str">
        <f t="shared" si="21"/>
        <v>50-59</v>
      </c>
      <c r="I458" t="str">
        <f t="shared" si="22"/>
        <v>Obese</v>
      </c>
      <c r="J458" t="str">
        <f t="shared" si="23"/>
        <v>No</v>
      </c>
    </row>
    <row r="459" spans="1:10" x14ac:dyDescent="0.25">
      <c r="A459">
        <v>57</v>
      </c>
      <c r="B459" t="s">
        <v>7</v>
      </c>
      <c r="C459">
        <v>30.495000000000001</v>
      </c>
      <c r="D459">
        <v>0</v>
      </c>
      <c r="E459" t="s">
        <v>11</v>
      </c>
      <c r="F459" t="s">
        <v>13</v>
      </c>
      <c r="G459">
        <v>11840.77505</v>
      </c>
      <c r="H459" t="str">
        <f t="shared" si="21"/>
        <v>50-59</v>
      </c>
      <c r="I459" t="str">
        <f t="shared" si="22"/>
        <v>Obese</v>
      </c>
      <c r="J459" t="str">
        <f t="shared" si="23"/>
        <v>No</v>
      </c>
    </row>
    <row r="460" spans="1:10" x14ac:dyDescent="0.25">
      <c r="A460">
        <v>56</v>
      </c>
      <c r="B460" t="s">
        <v>10</v>
      </c>
      <c r="C460">
        <v>39.6</v>
      </c>
      <c r="D460">
        <v>0</v>
      </c>
      <c r="E460" t="s">
        <v>11</v>
      </c>
      <c r="F460" t="s">
        <v>9</v>
      </c>
      <c r="G460">
        <v>10601.412</v>
      </c>
      <c r="H460" t="str">
        <f t="shared" si="21"/>
        <v>50-59</v>
      </c>
      <c r="I460" t="str">
        <f t="shared" si="22"/>
        <v>Obese</v>
      </c>
      <c r="J460" t="str">
        <f t="shared" si="23"/>
        <v>No</v>
      </c>
    </row>
    <row r="461" spans="1:10" x14ac:dyDescent="0.25">
      <c r="A461">
        <v>40</v>
      </c>
      <c r="B461" t="s">
        <v>7</v>
      </c>
      <c r="C461">
        <v>33</v>
      </c>
      <c r="D461">
        <v>3</v>
      </c>
      <c r="E461" t="s">
        <v>11</v>
      </c>
      <c r="F461" t="s">
        <v>12</v>
      </c>
      <c r="G461">
        <v>7682.67</v>
      </c>
      <c r="H461" t="str">
        <f t="shared" si="21"/>
        <v>40-49</v>
      </c>
      <c r="I461" t="str">
        <f t="shared" si="22"/>
        <v>Obese</v>
      </c>
      <c r="J461" t="str">
        <f t="shared" si="23"/>
        <v>No</v>
      </c>
    </row>
    <row r="462" spans="1:10" x14ac:dyDescent="0.25">
      <c r="A462">
        <v>49</v>
      </c>
      <c r="B462" t="s">
        <v>7</v>
      </c>
      <c r="C462">
        <v>36.630000000000003</v>
      </c>
      <c r="D462">
        <v>3</v>
      </c>
      <c r="E462" t="s">
        <v>11</v>
      </c>
      <c r="F462" t="s">
        <v>12</v>
      </c>
      <c r="G462">
        <v>10381.4787</v>
      </c>
      <c r="H462" t="str">
        <f t="shared" si="21"/>
        <v>40-49</v>
      </c>
      <c r="I462" t="str">
        <f t="shared" si="22"/>
        <v>Obese</v>
      </c>
      <c r="J462" t="str">
        <f t="shared" si="23"/>
        <v>No</v>
      </c>
    </row>
    <row r="463" spans="1:10" x14ac:dyDescent="0.25">
      <c r="A463">
        <v>42</v>
      </c>
      <c r="B463" t="s">
        <v>10</v>
      </c>
      <c r="C463">
        <v>30</v>
      </c>
      <c r="D463">
        <v>0</v>
      </c>
      <c r="E463" t="s">
        <v>8</v>
      </c>
      <c r="F463" t="s">
        <v>9</v>
      </c>
      <c r="G463">
        <v>22144.031999999999</v>
      </c>
      <c r="H463" t="str">
        <f t="shared" si="21"/>
        <v>40-49</v>
      </c>
      <c r="I463" t="str">
        <f t="shared" si="22"/>
        <v>Obese</v>
      </c>
      <c r="J463" t="str">
        <f t="shared" si="23"/>
        <v>Yes</v>
      </c>
    </row>
    <row r="464" spans="1:10" x14ac:dyDescent="0.25">
      <c r="A464">
        <v>62</v>
      </c>
      <c r="B464" t="s">
        <v>7</v>
      </c>
      <c r="C464">
        <v>38.094999999999999</v>
      </c>
      <c r="D464">
        <v>2</v>
      </c>
      <c r="E464" t="s">
        <v>11</v>
      </c>
      <c r="F464" t="s">
        <v>14</v>
      </c>
      <c r="G464">
        <v>15230.324049999999</v>
      </c>
      <c r="H464" t="str">
        <f t="shared" si="21"/>
        <v>60+</v>
      </c>
      <c r="I464" t="str">
        <f t="shared" si="22"/>
        <v>Obese</v>
      </c>
      <c r="J464" t="str">
        <f t="shared" si="23"/>
        <v>No</v>
      </c>
    </row>
    <row r="465" spans="1:10" x14ac:dyDescent="0.25">
      <c r="A465">
        <v>56</v>
      </c>
      <c r="B465" t="s">
        <v>10</v>
      </c>
      <c r="C465">
        <v>25.934999999999999</v>
      </c>
      <c r="D465">
        <v>0</v>
      </c>
      <c r="E465" t="s">
        <v>11</v>
      </c>
      <c r="F465" t="s">
        <v>14</v>
      </c>
      <c r="G465">
        <v>11165.417649999999</v>
      </c>
      <c r="H465" t="str">
        <f t="shared" si="21"/>
        <v>50-59</v>
      </c>
      <c r="I465" t="str">
        <f t="shared" si="22"/>
        <v>Overweight</v>
      </c>
      <c r="J465" t="str">
        <f t="shared" si="23"/>
        <v>No</v>
      </c>
    </row>
    <row r="466" spans="1:10" x14ac:dyDescent="0.25">
      <c r="A466">
        <v>19</v>
      </c>
      <c r="B466" t="s">
        <v>10</v>
      </c>
      <c r="C466">
        <v>25.175000000000001</v>
      </c>
      <c r="D466">
        <v>0</v>
      </c>
      <c r="E466" t="s">
        <v>11</v>
      </c>
      <c r="F466" t="s">
        <v>13</v>
      </c>
      <c r="G466">
        <v>1632.0362500000001</v>
      </c>
      <c r="H466" t="str">
        <f t="shared" si="21"/>
        <v>18-29</v>
      </c>
      <c r="I466" t="str">
        <f t="shared" si="22"/>
        <v>Overweight</v>
      </c>
      <c r="J466" t="str">
        <f t="shared" si="23"/>
        <v>No</v>
      </c>
    </row>
    <row r="467" spans="1:10" x14ac:dyDescent="0.25">
      <c r="A467">
        <v>30</v>
      </c>
      <c r="B467" t="s">
        <v>7</v>
      </c>
      <c r="C467">
        <v>28.38</v>
      </c>
      <c r="D467">
        <v>1</v>
      </c>
      <c r="E467" t="s">
        <v>8</v>
      </c>
      <c r="F467" t="s">
        <v>12</v>
      </c>
      <c r="G467">
        <v>19521.968199999999</v>
      </c>
      <c r="H467" t="str">
        <f t="shared" si="21"/>
        <v>30-39</v>
      </c>
      <c r="I467" t="str">
        <f t="shared" si="22"/>
        <v>Overweight</v>
      </c>
      <c r="J467" t="str">
        <f t="shared" si="23"/>
        <v>No</v>
      </c>
    </row>
    <row r="468" spans="1:10" x14ac:dyDescent="0.25">
      <c r="A468">
        <v>60</v>
      </c>
      <c r="B468" t="s">
        <v>7</v>
      </c>
      <c r="C468">
        <v>28.7</v>
      </c>
      <c r="D468">
        <v>1</v>
      </c>
      <c r="E468" t="s">
        <v>11</v>
      </c>
      <c r="F468" t="s">
        <v>9</v>
      </c>
      <c r="G468">
        <v>13224.692999999999</v>
      </c>
      <c r="H468" t="str">
        <f t="shared" si="21"/>
        <v>60+</v>
      </c>
      <c r="I468" t="str">
        <f t="shared" si="22"/>
        <v>Overweight</v>
      </c>
      <c r="J468" t="str">
        <f t="shared" si="23"/>
        <v>No</v>
      </c>
    </row>
    <row r="469" spans="1:10" x14ac:dyDescent="0.25">
      <c r="A469">
        <v>56</v>
      </c>
      <c r="B469" t="s">
        <v>7</v>
      </c>
      <c r="C469">
        <v>33.82</v>
      </c>
      <c r="D469">
        <v>2</v>
      </c>
      <c r="E469" t="s">
        <v>11</v>
      </c>
      <c r="F469" t="s">
        <v>13</v>
      </c>
      <c r="G469">
        <v>12643.3778</v>
      </c>
      <c r="H469" t="str">
        <f t="shared" si="21"/>
        <v>50-59</v>
      </c>
      <c r="I469" t="str">
        <f t="shared" si="22"/>
        <v>Obese</v>
      </c>
      <c r="J469" t="str">
        <f t="shared" si="23"/>
        <v>No</v>
      </c>
    </row>
    <row r="470" spans="1:10" x14ac:dyDescent="0.25">
      <c r="A470">
        <v>28</v>
      </c>
      <c r="B470" t="s">
        <v>7</v>
      </c>
      <c r="C470">
        <v>24.32</v>
      </c>
      <c r="D470">
        <v>1</v>
      </c>
      <c r="E470" t="s">
        <v>11</v>
      </c>
      <c r="F470" t="s">
        <v>14</v>
      </c>
      <c r="G470">
        <v>23288.928400000001</v>
      </c>
      <c r="H470" t="str">
        <f t="shared" si="21"/>
        <v>18-29</v>
      </c>
      <c r="I470" t="str">
        <f t="shared" si="22"/>
        <v>Normal</v>
      </c>
      <c r="J470" t="str">
        <f t="shared" si="23"/>
        <v>Yes</v>
      </c>
    </row>
    <row r="471" spans="1:10" x14ac:dyDescent="0.25">
      <c r="A471">
        <v>18</v>
      </c>
      <c r="B471" t="s">
        <v>7</v>
      </c>
      <c r="C471">
        <v>24.09</v>
      </c>
      <c r="D471">
        <v>1</v>
      </c>
      <c r="E471" t="s">
        <v>11</v>
      </c>
      <c r="F471" t="s">
        <v>12</v>
      </c>
      <c r="G471">
        <v>2201.0971</v>
      </c>
      <c r="H471" t="str">
        <f t="shared" si="21"/>
        <v>18-29</v>
      </c>
      <c r="I471" t="str">
        <f t="shared" si="22"/>
        <v>Normal</v>
      </c>
      <c r="J471" t="str">
        <f t="shared" si="23"/>
        <v>No</v>
      </c>
    </row>
    <row r="472" spans="1:10" x14ac:dyDescent="0.25">
      <c r="A472">
        <v>27</v>
      </c>
      <c r="B472" t="s">
        <v>10</v>
      </c>
      <c r="C472">
        <v>32.67</v>
      </c>
      <c r="D472">
        <v>0</v>
      </c>
      <c r="E472" t="s">
        <v>11</v>
      </c>
      <c r="F472" t="s">
        <v>12</v>
      </c>
      <c r="G472">
        <v>2497.0383000000002</v>
      </c>
      <c r="H472" t="str">
        <f t="shared" si="21"/>
        <v>18-29</v>
      </c>
      <c r="I472" t="str">
        <f t="shared" si="22"/>
        <v>Obese</v>
      </c>
      <c r="J472" t="str">
        <f t="shared" si="23"/>
        <v>No</v>
      </c>
    </row>
    <row r="473" spans="1:10" x14ac:dyDescent="0.25">
      <c r="A473">
        <v>18</v>
      </c>
      <c r="B473" t="s">
        <v>7</v>
      </c>
      <c r="C473">
        <v>30.114999999999998</v>
      </c>
      <c r="D473">
        <v>0</v>
      </c>
      <c r="E473" t="s">
        <v>11</v>
      </c>
      <c r="F473" t="s">
        <v>14</v>
      </c>
      <c r="G473">
        <v>2203.4718499999999</v>
      </c>
      <c r="H473" t="str">
        <f t="shared" si="21"/>
        <v>18-29</v>
      </c>
      <c r="I473" t="str">
        <f t="shared" si="22"/>
        <v>Obese</v>
      </c>
      <c r="J473" t="str">
        <f t="shared" si="23"/>
        <v>No</v>
      </c>
    </row>
    <row r="474" spans="1:10" x14ac:dyDescent="0.25">
      <c r="A474">
        <v>19</v>
      </c>
      <c r="B474" t="s">
        <v>7</v>
      </c>
      <c r="C474">
        <v>29.8</v>
      </c>
      <c r="D474">
        <v>0</v>
      </c>
      <c r="E474" t="s">
        <v>11</v>
      </c>
      <c r="F474" t="s">
        <v>9</v>
      </c>
      <c r="G474">
        <v>1744.4649999999999</v>
      </c>
      <c r="H474" t="str">
        <f t="shared" si="21"/>
        <v>18-29</v>
      </c>
      <c r="I474" t="str">
        <f t="shared" si="22"/>
        <v>Overweight</v>
      </c>
      <c r="J474" t="str">
        <f t="shared" si="23"/>
        <v>No</v>
      </c>
    </row>
    <row r="475" spans="1:10" x14ac:dyDescent="0.25">
      <c r="A475">
        <v>47</v>
      </c>
      <c r="B475" t="s">
        <v>7</v>
      </c>
      <c r="C475">
        <v>33.344999999999999</v>
      </c>
      <c r="D475">
        <v>0</v>
      </c>
      <c r="E475" t="s">
        <v>11</v>
      </c>
      <c r="F475" t="s">
        <v>14</v>
      </c>
      <c r="G475">
        <v>20878.78443</v>
      </c>
      <c r="H475" t="str">
        <f t="shared" si="21"/>
        <v>40-49</v>
      </c>
      <c r="I475" t="str">
        <f t="shared" si="22"/>
        <v>Obese</v>
      </c>
      <c r="J475" t="str">
        <f t="shared" si="23"/>
        <v>Yes</v>
      </c>
    </row>
    <row r="476" spans="1:10" x14ac:dyDescent="0.25">
      <c r="A476">
        <v>54</v>
      </c>
      <c r="B476" t="s">
        <v>10</v>
      </c>
      <c r="C476">
        <v>25.1</v>
      </c>
      <c r="D476">
        <v>3</v>
      </c>
      <c r="E476" t="s">
        <v>8</v>
      </c>
      <c r="F476" t="s">
        <v>9</v>
      </c>
      <c r="G476">
        <v>25382.296999999999</v>
      </c>
      <c r="H476" t="str">
        <f t="shared" si="21"/>
        <v>50-59</v>
      </c>
      <c r="I476" t="str">
        <f t="shared" si="22"/>
        <v>Overweight</v>
      </c>
      <c r="J476" t="str">
        <f t="shared" si="23"/>
        <v>Yes</v>
      </c>
    </row>
    <row r="477" spans="1:10" x14ac:dyDescent="0.25">
      <c r="A477">
        <v>61</v>
      </c>
      <c r="B477" t="s">
        <v>10</v>
      </c>
      <c r="C477">
        <v>28.31</v>
      </c>
      <c r="D477">
        <v>1</v>
      </c>
      <c r="E477" t="s">
        <v>8</v>
      </c>
      <c r="F477" t="s">
        <v>13</v>
      </c>
      <c r="G477">
        <v>28868.6639</v>
      </c>
      <c r="H477" t="str">
        <f t="shared" si="21"/>
        <v>60+</v>
      </c>
      <c r="I477" t="str">
        <f t="shared" si="22"/>
        <v>Overweight</v>
      </c>
      <c r="J477" t="str">
        <f t="shared" si="23"/>
        <v>Yes</v>
      </c>
    </row>
    <row r="478" spans="1:10" x14ac:dyDescent="0.25">
      <c r="A478">
        <v>24</v>
      </c>
      <c r="B478" t="s">
        <v>10</v>
      </c>
      <c r="C478">
        <v>28.5</v>
      </c>
      <c r="D478">
        <v>0</v>
      </c>
      <c r="E478" t="s">
        <v>8</v>
      </c>
      <c r="F478" t="s">
        <v>14</v>
      </c>
      <c r="G478">
        <v>35147.528480000001</v>
      </c>
      <c r="H478" t="str">
        <f t="shared" si="21"/>
        <v>18-29</v>
      </c>
      <c r="I478" t="str">
        <f t="shared" si="22"/>
        <v>Overweight</v>
      </c>
      <c r="J478" t="str">
        <f t="shared" si="23"/>
        <v>Yes</v>
      </c>
    </row>
    <row r="479" spans="1:10" x14ac:dyDescent="0.25">
      <c r="A479">
        <v>25</v>
      </c>
      <c r="B479" t="s">
        <v>10</v>
      </c>
      <c r="C479">
        <v>35.625</v>
      </c>
      <c r="D479">
        <v>0</v>
      </c>
      <c r="E479" t="s">
        <v>11</v>
      </c>
      <c r="F479" t="s">
        <v>13</v>
      </c>
      <c r="G479">
        <v>2534.3937500000002</v>
      </c>
      <c r="H479" t="str">
        <f t="shared" si="21"/>
        <v>18-29</v>
      </c>
      <c r="I479" t="str">
        <f t="shared" si="22"/>
        <v>Obese</v>
      </c>
      <c r="J479" t="str">
        <f t="shared" si="23"/>
        <v>No</v>
      </c>
    </row>
    <row r="480" spans="1:10" x14ac:dyDescent="0.25">
      <c r="A480">
        <v>21</v>
      </c>
      <c r="B480" t="s">
        <v>10</v>
      </c>
      <c r="C480">
        <v>36.85</v>
      </c>
      <c r="D480">
        <v>0</v>
      </c>
      <c r="E480" t="s">
        <v>11</v>
      </c>
      <c r="F480" t="s">
        <v>12</v>
      </c>
      <c r="G480">
        <v>1534.3045</v>
      </c>
      <c r="H480" t="str">
        <f t="shared" si="21"/>
        <v>18-29</v>
      </c>
      <c r="I480" t="str">
        <f t="shared" si="22"/>
        <v>Obese</v>
      </c>
      <c r="J480" t="str">
        <f t="shared" si="23"/>
        <v>No</v>
      </c>
    </row>
    <row r="481" spans="1:10" x14ac:dyDescent="0.25">
      <c r="A481">
        <v>23</v>
      </c>
      <c r="B481" t="s">
        <v>10</v>
      </c>
      <c r="C481">
        <v>32.56</v>
      </c>
      <c r="D481">
        <v>0</v>
      </c>
      <c r="E481" t="s">
        <v>11</v>
      </c>
      <c r="F481" t="s">
        <v>12</v>
      </c>
      <c r="G481">
        <v>1824.2854</v>
      </c>
      <c r="H481" t="str">
        <f t="shared" si="21"/>
        <v>18-29</v>
      </c>
      <c r="I481" t="str">
        <f t="shared" si="22"/>
        <v>Obese</v>
      </c>
      <c r="J481" t="str">
        <f t="shared" si="23"/>
        <v>No</v>
      </c>
    </row>
    <row r="482" spans="1:10" x14ac:dyDescent="0.25">
      <c r="A482">
        <v>63</v>
      </c>
      <c r="B482" t="s">
        <v>10</v>
      </c>
      <c r="C482">
        <v>41.325000000000003</v>
      </c>
      <c r="D482">
        <v>3</v>
      </c>
      <c r="E482" t="s">
        <v>11</v>
      </c>
      <c r="F482" t="s">
        <v>13</v>
      </c>
      <c r="G482">
        <v>15555.188749999999</v>
      </c>
      <c r="H482" t="str">
        <f t="shared" si="21"/>
        <v>60+</v>
      </c>
      <c r="I482" t="str">
        <f t="shared" si="22"/>
        <v>Obese</v>
      </c>
      <c r="J482" t="str">
        <f t="shared" si="23"/>
        <v>No</v>
      </c>
    </row>
    <row r="483" spans="1:10" x14ac:dyDescent="0.25">
      <c r="A483">
        <v>49</v>
      </c>
      <c r="B483" t="s">
        <v>10</v>
      </c>
      <c r="C483">
        <v>37.51</v>
      </c>
      <c r="D483">
        <v>2</v>
      </c>
      <c r="E483" t="s">
        <v>11</v>
      </c>
      <c r="F483" t="s">
        <v>12</v>
      </c>
      <c r="G483">
        <v>9304.7019</v>
      </c>
      <c r="H483" t="str">
        <f t="shared" si="21"/>
        <v>40-49</v>
      </c>
      <c r="I483" t="str">
        <f t="shared" si="22"/>
        <v>Obese</v>
      </c>
      <c r="J483" t="str">
        <f t="shared" si="23"/>
        <v>No</v>
      </c>
    </row>
    <row r="484" spans="1:10" x14ac:dyDescent="0.25">
      <c r="A484">
        <v>18</v>
      </c>
      <c r="B484" t="s">
        <v>7</v>
      </c>
      <c r="C484">
        <v>31.35</v>
      </c>
      <c r="D484">
        <v>0</v>
      </c>
      <c r="E484" t="s">
        <v>11</v>
      </c>
      <c r="F484" t="s">
        <v>12</v>
      </c>
      <c r="G484">
        <v>1622.1885</v>
      </c>
      <c r="H484" t="str">
        <f t="shared" si="21"/>
        <v>18-29</v>
      </c>
      <c r="I484" t="str">
        <f t="shared" si="22"/>
        <v>Obese</v>
      </c>
      <c r="J484" t="str">
        <f t="shared" si="23"/>
        <v>No</v>
      </c>
    </row>
    <row r="485" spans="1:10" x14ac:dyDescent="0.25">
      <c r="A485">
        <v>51</v>
      </c>
      <c r="B485" t="s">
        <v>7</v>
      </c>
      <c r="C485">
        <v>39.5</v>
      </c>
      <c r="D485">
        <v>1</v>
      </c>
      <c r="E485" t="s">
        <v>11</v>
      </c>
      <c r="F485" t="s">
        <v>9</v>
      </c>
      <c r="G485">
        <v>9880.0679999999993</v>
      </c>
      <c r="H485" t="str">
        <f t="shared" si="21"/>
        <v>50-59</v>
      </c>
      <c r="I485" t="str">
        <f t="shared" si="22"/>
        <v>Obese</v>
      </c>
      <c r="J485" t="str">
        <f t="shared" si="23"/>
        <v>No</v>
      </c>
    </row>
    <row r="486" spans="1:10" x14ac:dyDescent="0.25">
      <c r="A486">
        <v>48</v>
      </c>
      <c r="B486" t="s">
        <v>10</v>
      </c>
      <c r="C486">
        <v>34.299999999999997</v>
      </c>
      <c r="D486">
        <v>3</v>
      </c>
      <c r="E486" t="s">
        <v>11</v>
      </c>
      <c r="F486" t="s">
        <v>9</v>
      </c>
      <c r="G486">
        <v>9563.0290000000005</v>
      </c>
      <c r="H486" t="str">
        <f t="shared" si="21"/>
        <v>40-49</v>
      </c>
      <c r="I486" t="str">
        <f t="shared" si="22"/>
        <v>Obese</v>
      </c>
      <c r="J486" t="str">
        <f t="shared" si="23"/>
        <v>No</v>
      </c>
    </row>
    <row r="487" spans="1:10" x14ac:dyDescent="0.25">
      <c r="A487">
        <v>31</v>
      </c>
      <c r="B487" t="s">
        <v>7</v>
      </c>
      <c r="C487">
        <v>31.065000000000001</v>
      </c>
      <c r="D487">
        <v>0</v>
      </c>
      <c r="E487" t="s">
        <v>11</v>
      </c>
      <c r="F487" t="s">
        <v>14</v>
      </c>
      <c r="G487">
        <v>4347.0233500000004</v>
      </c>
      <c r="H487" t="str">
        <f t="shared" si="21"/>
        <v>30-39</v>
      </c>
      <c r="I487" t="str">
        <f t="shared" si="22"/>
        <v>Obese</v>
      </c>
      <c r="J487" t="str">
        <f t="shared" si="23"/>
        <v>No</v>
      </c>
    </row>
    <row r="488" spans="1:10" x14ac:dyDescent="0.25">
      <c r="A488">
        <v>54</v>
      </c>
      <c r="B488" t="s">
        <v>7</v>
      </c>
      <c r="C488">
        <v>21.47</v>
      </c>
      <c r="D488">
        <v>3</v>
      </c>
      <c r="E488" t="s">
        <v>11</v>
      </c>
      <c r="F488" t="s">
        <v>13</v>
      </c>
      <c r="G488">
        <v>12475.3513</v>
      </c>
      <c r="H488" t="str">
        <f t="shared" si="21"/>
        <v>50-59</v>
      </c>
      <c r="I488" t="str">
        <f t="shared" si="22"/>
        <v>Normal</v>
      </c>
      <c r="J488" t="str">
        <f t="shared" si="23"/>
        <v>No</v>
      </c>
    </row>
    <row r="489" spans="1:10" x14ac:dyDescent="0.25">
      <c r="A489">
        <v>19</v>
      </c>
      <c r="B489" t="s">
        <v>10</v>
      </c>
      <c r="C489">
        <v>28.7</v>
      </c>
      <c r="D489">
        <v>0</v>
      </c>
      <c r="E489" t="s">
        <v>11</v>
      </c>
      <c r="F489" t="s">
        <v>9</v>
      </c>
      <c r="G489">
        <v>1253.9359999999999</v>
      </c>
      <c r="H489" t="str">
        <f t="shared" si="21"/>
        <v>18-29</v>
      </c>
      <c r="I489" t="str">
        <f t="shared" si="22"/>
        <v>Overweight</v>
      </c>
      <c r="J489" t="str">
        <f t="shared" si="23"/>
        <v>No</v>
      </c>
    </row>
    <row r="490" spans="1:10" x14ac:dyDescent="0.25">
      <c r="A490">
        <v>44</v>
      </c>
      <c r="B490" t="s">
        <v>7</v>
      </c>
      <c r="C490">
        <v>38.06</v>
      </c>
      <c r="D490">
        <v>0</v>
      </c>
      <c r="E490" t="s">
        <v>8</v>
      </c>
      <c r="F490" t="s">
        <v>12</v>
      </c>
      <c r="G490">
        <v>48885.135609999998</v>
      </c>
      <c r="H490" t="str">
        <f t="shared" si="21"/>
        <v>40-49</v>
      </c>
      <c r="I490" t="str">
        <f t="shared" si="22"/>
        <v>Obese</v>
      </c>
      <c r="J490" t="str">
        <f t="shared" si="23"/>
        <v>Yes</v>
      </c>
    </row>
    <row r="491" spans="1:10" x14ac:dyDescent="0.25">
      <c r="A491">
        <v>53</v>
      </c>
      <c r="B491" t="s">
        <v>10</v>
      </c>
      <c r="C491">
        <v>31.16</v>
      </c>
      <c r="D491">
        <v>1</v>
      </c>
      <c r="E491" t="s">
        <v>11</v>
      </c>
      <c r="F491" t="s">
        <v>13</v>
      </c>
      <c r="G491">
        <v>10461.9794</v>
      </c>
      <c r="H491" t="str">
        <f t="shared" si="21"/>
        <v>50-59</v>
      </c>
      <c r="I491" t="str">
        <f t="shared" si="22"/>
        <v>Obese</v>
      </c>
      <c r="J491" t="str">
        <f t="shared" si="23"/>
        <v>No</v>
      </c>
    </row>
    <row r="492" spans="1:10" x14ac:dyDescent="0.25">
      <c r="A492">
        <v>19</v>
      </c>
      <c r="B492" t="s">
        <v>7</v>
      </c>
      <c r="C492">
        <v>32.9</v>
      </c>
      <c r="D492">
        <v>0</v>
      </c>
      <c r="E492" t="s">
        <v>11</v>
      </c>
      <c r="F492" t="s">
        <v>9</v>
      </c>
      <c r="G492">
        <v>1748.7739999999999</v>
      </c>
      <c r="H492" t="str">
        <f t="shared" si="21"/>
        <v>18-29</v>
      </c>
      <c r="I492" t="str">
        <f t="shared" si="22"/>
        <v>Obese</v>
      </c>
      <c r="J492" t="str">
        <f t="shared" si="23"/>
        <v>No</v>
      </c>
    </row>
    <row r="493" spans="1:10" x14ac:dyDescent="0.25">
      <c r="A493">
        <v>61</v>
      </c>
      <c r="B493" t="s">
        <v>7</v>
      </c>
      <c r="C493">
        <v>25.08</v>
      </c>
      <c r="D493">
        <v>0</v>
      </c>
      <c r="E493" t="s">
        <v>11</v>
      </c>
      <c r="F493" t="s">
        <v>12</v>
      </c>
      <c r="G493">
        <v>24513.091260000001</v>
      </c>
      <c r="H493" t="str">
        <f t="shared" si="21"/>
        <v>60+</v>
      </c>
      <c r="I493" t="str">
        <f t="shared" si="22"/>
        <v>Overweight</v>
      </c>
      <c r="J493" t="str">
        <f t="shared" si="23"/>
        <v>Yes</v>
      </c>
    </row>
    <row r="494" spans="1:10" x14ac:dyDescent="0.25">
      <c r="A494">
        <v>18</v>
      </c>
      <c r="B494" t="s">
        <v>7</v>
      </c>
      <c r="C494">
        <v>25.08</v>
      </c>
      <c r="D494">
        <v>0</v>
      </c>
      <c r="E494" t="s">
        <v>11</v>
      </c>
      <c r="F494" t="s">
        <v>14</v>
      </c>
      <c r="G494">
        <v>2196.4731999999999</v>
      </c>
      <c r="H494" t="str">
        <f t="shared" si="21"/>
        <v>18-29</v>
      </c>
      <c r="I494" t="str">
        <f t="shared" si="22"/>
        <v>Overweight</v>
      </c>
      <c r="J494" t="str">
        <f t="shared" si="23"/>
        <v>No</v>
      </c>
    </row>
    <row r="495" spans="1:10" x14ac:dyDescent="0.25">
      <c r="A495">
        <v>61</v>
      </c>
      <c r="B495" t="s">
        <v>10</v>
      </c>
      <c r="C495">
        <v>43.4</v>
      </c>
      <c r="D495">
        <v>0</v>
      </c>
      <c r="E495" t="s">
        <v>11</v>
      </c>
      <c r="F495" t="s">
        <v>9</v>
      </c>
      <c r="G495">
        <v>12574.049000000001</v>
      </c>
      <c r="H495" t="str">
        <f t="shared" si="21"/>
        <v>60+</v>
      </c>
      <c r="I495" t="str">
        <f t="shared" si="22"/>
        <v>Obese</v>
      </c>
      <c r="J495" t="str">
        <f t="shared" si="23"/>
        <v>No</v>
      </c>
    </row>
    <row r="496" spans="1:10" x14ac:dyDescent="0.25">
      <c r="A496">
        <v>21</v>
      </c>
      <c r="B496" t="s">
        <v>10</v>
      </c>
      <c r="C496">
        <v>25.7</v>
      </c>
      <c r="D496">
        <v>4</v>
      </c>
      <c r="E496" t="s">
        <v>8</v>
      </c>
      <c r="F496" t="s">
        <v>9</v>
      </c>
      <c r="G496">
        <v>17942.106</v>
      </c>
      <c r="H496" t="str">
        <f t="shared" si="21"/>
        <v>18-29</v>
      </c>
      <c r="I496" t="str">
        <f t="shared" si="22"/>
        <v>Overweight</v>
      </c>
      <c r="J496" t="str">
        <f t="shared" si="23"/>
        <v>No</v>
      </c>
    </row>
    <row r="497" spans="1:10" x14ac:dyDescent="0.25">
      <c r="A497">
        <v>20</v>
      </c>
      <c r="B497" t="s">
        <v>10</v>
      </c>
      <c r="C497">
        <v>27.93</v>
      </c>
      <c r="D497">
        <v>0</v>
      </c>
      <c r="E497" t="s">
        <v>11</v>
      </c>
      <c r="F497" t="s">
        <v>14</v>
      </c>
      <c r="G497">
        <v>1967.0227</v>
      </c>
      <c r="H497" t="str">
        <f t="shared" si="21"/>
        <v>18-29</v>
      </c>
      <c r="I497" t="str">
        <f t="shared" si="22"/>
        <v>Overweight</v>
      </c>
      <c r="J497" t="str">
        <f t="shared" si="23"/>
        <v>No</v>
      </c>
    </row>
    <row r="498" spans="1:10" x14ac:dyDescent="0.25">
      <c r="A498">
        <v>31</v>
      </c>
      <c r="B498" t="s">
        <v>7</v>
      </c>
      <c r="C498">
        <v>23.6</v>
      </c>
      <c r="D498">
        <v>2</v>
      </c>
      <c r="E498" t="s">
        <v>11</v>
      </c>
      <c r="F498" t="s">
        <v>9</v>
      </c>
      <c r="G498">
        <v>4931.6469999999999</v>
      </c>
      <c r="H498" t="str">
        <f t="shared" si="21"/>
        <v>30-39</v>
      </c>
      <c r="I498" t="str">
        <f t="shared" si="22"/>
        <v>Normal</v>
      </c>
      <c r="J498" t="str">
        <f t="shared" si="23"/>
        <v>No</v>
      </c>
    </row>
    <row r="499" spans="1:10" x14ac:dyDescent="0.25">
      <c r="A499">
        <v>45</v>
      </c>
      <c r="B499" t="s">
        <v>10</v>
      </c>
      <c r="C499">
        <v>28.7</v>
      </c>
      <c r="D499">
        <v>2</v>
      </c>
      <c r="E499" t="s">
        <v>11</v>
      </c>
      <c r="F499" t="s">
        <v>9</v>
      </c>
      <c r="G499">
        <v>8027.9679999999998</v>
      </c>
      <c r="H499" t="str">
        <f t="shared" si="21"/>
        <v>40-49</v>
      </c>
      <c r="I499" t="str">
        <f t="shared" si="22"/>
        <v>Overweight</v>
      </c>
      <c r="J499" t="str">
        <f t="shared" si="23"/>
        <v>No</v>
      </c>
    </row>
    <row r="500" spans="1:10" x14ac:dyDescent="0.25">
      <c r="A500">
        <v>44</v>
      </c>
      <c r="B500" t="s">
        <v>7</v>
      </c>
      <c r="C500">
        <v>23.98</v>
      </c>
      <c r="D500">
        <v>2</v>
      </c>
      <c r="E500" t="s">
        <v>11</v>
      </c>
      <c r="F500" t="s">
        <v>12</v>
      </c>
      <c r="G500">
        <v>8211.1002000000008</v>
      </c>
      <c r="H500" t="str">
        <f t="shared" si="21"/>
        <v>40-49</v>
      </c>
      <c r="I500" t="str">
        <f t="shared" si="22"/>
        <v>Normal</v>
      </c>
      <c r="J500" t="str">
        <f t="shared" si="23"/>
        <v>No</v>
      </c>
    </row>
    <row r="501" spans="1:10" x14ac:dyDescent="0.25">
      <c r="A501">
        <v>62</v>
      </c>
      <c r="B501" t="s">
        <v>7</v>
      </c>
      <c r="C501">
        <v>39.200000000000003</v>
      </c>
      <c r="D501">
        <v>0</v>
      </c>
      <c r="E501" t="s">
        <v>11</v>
      </c>
      <c r="F501" t="s">
        <v>9</v>
      </c>
      <c r="G501">
        <v>13470.86</v>
      </c>
      <c r="H501" t="str">
        <f t="shared" si="21"/>
        <v>60+</v>
      </c>
      <c r="I501" t="str">
        <f t="shared" si="22"/>
        <v>Obese</v>
      </c>
      <c r="J501" t="str">
        <f t="shared" si="23"/>
        <v>No</v>
      </c>
    </row>
    <row r="502" spans="1:10" x14ac:dyDescent="0.25">
      <c r="A502">
        <v>29</v>
      </c>
      <c r="B502" t="s">
        <v>10</v>
      </c>
      <c r="C502">
        <v>34.4</v>
      </c>
      <c r="D502">
        <v>0</v>
      </c>
      <c r="E502" t="s">
        <v>8</v>
      </c>
      <c r="F502" t="s">
        <v>9</v>
      </c>
      <c r="G502">
        <v>36197.699000000001</v>
      </c>
      <c r="H502" t="str">
        <f t="shared" si="21"/>
        <v>18-29</v>
      </c>
      <c r="I502" t="str">
        <f t="shared" si="22"/>
        <v>Obese</v>
      </c>
      <c r="J502" t="str">
        <f t="shared" si="23"/>
        <v>Yes</v>
      </c>
    </row>
    <row r="503" spans="1:10" x14ac:dyDescent="0.25">
      <c r="A503">
        <v>43</v>
      </c>
      <c r="B503" t="s">
        <v>10</v>
      </c>
      <c r="C503">
        <v>26.03</v>
      </c>
      <c r="D503">
        <v>0</v>
      </c>
      <c r="E503" t="s">
        <v>11</v>
      </c>
      <c r="F503" t="s">
        <v>14</v>
      </c>
      <c r="G503">
        <v>6837.3687</v>
      </c>
      <c r="H503" t="str">
        <f t="shared" si="21"/>
        <v>40-49</v>
      </c>
      <c r="I503" t="str">
        <f t="shared" si="22"/>
        <v>Overweight</v>
      </c>
      <c r="J503" t="str">
        <f t="shared" si="23"/>
        <v>No</v>
      </c>
    </row>
    <row r="504" spans="1:10" x14ac:dyDescent="0.25">
      <c r="A504">
        <v>51</v>
      </c>
      <c r="B504" t="s">
        <v>10</v>
      </c>
      <c r="C504">
        <v>23.21</v>
      </c>
      <c r="D504">
        <v>1</v>
      </c>
      <c r="E504" t="s">
        <v>8</v>
      </c>
      <c r="F504" t="s">
        <v>12</v>
      </c>
      <c r="G504">
        <v>22218.1149</v>
      </c>
      <c r="H504" t="str">
        <f t="shared" si="21"/>
        <v>50-59</v>
      </c>
      <c r="I504" t="str">
        <f t="shared" si="22"/>
        <v>Normal</v>
      </c>
      <c r="J504" t="str">
        <f t="shared" si="23"/>
        <v>Yes</v>
      </c>
    </row>
    <row r="505" spans="1:10" x14ac:dyDescent="0.25">
      <c r="A505">
        <v>19</v>
      </c>
      <c r="B505" t="s">
        <v>10</v>
      </c>
      <c r="C505">
        <v>30.25</v>
      </c>
      <c r="D505">
        <v>0</v>
      </c>
      <c r="E505" t="s">
        <v>8</v>
      </c>
      <c r="F505" t="s">
        <v>12</v>
      </c>
      <c r="G505">
        <v>32548.340499999998</v>
      </c>
      <c r="H505" t="str">
        <f t="shared" si="21"/>
        <v>18-29</v>
      </c>
      <c r="I505" t="str">
        <f t="shared" si="22"/>
        <v>Obese</v>
      </c>
      <c r="J505" t="str">
        <f t="shared" si="23"/>
        <v>Yes</v>
      </c>
    </row>
    <row r="506" spans="1:10" x14ac:dyDescent="0.25">
      <c r="A506">
        <v>38</v>
      </c>
      <c r="B506" t="s">
        <v>7</v>
      </c>
      <c r="C506">
        <v>28.93</v>
      </c>
      <c r="D506">
        <v>1</v>
      </c>
      <c r="E506" t="s">
        <v>11</v>
      </c>
      <c r="F506" t="s">
        <v>12</v>
      </c>
      <c r="G506">
        <v>5974.3846999999996</v>
      </c>
      <c r="H506" t="str">
        <f t="shared" si="21"/>
        <v>30-39</v>
      </c>
      <c r="I506" t="str">
        <f t="shared" si="22"/>
        <v>Overweight</v>
      </c>
      <c r="J506" t="str">
        <f t="shared" si="23"/>
        <v>No</v>
      </c>
    </row>
    <row r="507" spans="1:10" x14ac:dyDescent="0.25">
      <c r="A507">
        <v>37</v>
      </c>
      <c r="B507" t="s">
        <v>10</v>
      </c>
      <c r="C507">
        <v>30.875</v>
      </c>
      <c r="D507">
        <v>3</v>
      </c>
      <c r="E507" t="s">
        <v>11</v>
      </c>
      <c r="F507" t="s">
        <v>13</v>
      </c>
      <c r="G507">
        <v>6796.8632500000003</v>
      </c>
      <c r="H507" t="str">
        <f t="shared" si="21"/>
        <v>30-39</v>
      </c>
      <c r="I507" t="str">
        <f t="shared" si="22"/>
        <v>Obese</v>
      </c>
      <c r="J507" t="str">
        <f t="shared" si="23"/>
        <v>No</v>
      </c>
    </row>
    <row r="508" spans="1:10" x14ac:dyDescent="0.25">
      <c r="A508">
        <v>22</v>
      </c>
      <c r="B508" t="s">
        <v>10</v>
      </c>
      <c r="C508">
        <v>31.35</v>
      </c>
      <c r="D508">
        <v>1</v>
      </c>
      <c r="E508" t="s">
        <v>11</v>
      </c>
      <c r="F508" t="s">
        <v>13</v>
      </c>
      <c r="G508">
        <v>2643.2685000000001</v>
      </c>
      <c r="H508" t="str">
        <f t="shared" si="21"/>
        <v>18-29</v>
      </c>
      <c r="I508" t="str">
        <f t="shared" si="22"/>
        <v>Obese</v>
      </c>
      <c r="J508" t="str">
        <f t="shared" si="23"/>
        <v>No</v>
      </c>
    </row>
    <row r="509" spans="1:10" x14ac:dyDescent="0.25">
      <c r="A509">
        <v>21</v>
      </c>
      <c r="B509" t="s">
        <v>10</v>
      </c>
      <c r="C509">
        <v>23.75</v>
      </c>
      <c r="D509">
        <v>2</v>
      </c>
      <c r="E509" t="s">
        <v>11</v>
      </c>
      <c r="F509" t="s">
        <v>13</v>
      </c>
      <c r="G509">
        <v>3077.0954999999999</v>
      </c>
      <c r="H509" t="str">
        <f t="shared" si="21"/>
        <v>18-29</v>
      </c>
      <c r="I509" t="str">
        <f t="shared" si="22"/>
        <v>Normal</v>
      </c>
      <c r="J509" t="str">
        <f t="shared" si="23"/>
        <v>No</v>
      </c>
    </row>
    <row r="510" spans="1:10" x14ac:dyDescent="0.25">
      <c r="A510">
        <v>24</v>
      </c>
      <c r="B510" t="s">
        <v>7</v>
      </c>
      <c r="C510">
        <v>25.27</v>
      </c>
      <c r="D510">
        <v>0</v>
      </c>
      <c r="E510" t="s">
        <v>11</v>
      </c>
      <c r="F510" t="s">
        <v>14</v>
      </c>
      <c r="G510">
        <v>3044.2132999999999</v>
      </c>
      <c r="H510" t="str">
        <f t="shared" si="21"/>
        <v>18-29</v>
      </c>
      <c r="I510" t="str">
        <f t="shared" si="22"/>
        <v>Overweight</v>
      </c>
      <c r="J510" t="str">
        <f t="shared" si="23"/>
        <v>No</v>
      </c>
    </row>
    <row r="511" spans="1:10" x14ac:dyDescent="0.25">
      <c r="A511">
        <v>57</v>
      </c>
      <c r="B511" t="s">
        <v>7</v>
      </c>
      <c r="C511">
        <v>28.7</v>
      </c>
      <c r="D511">
        <v>0</v>
      </c>
      <c r="E511" t="s">
        <v>11</v>
      </c>
      <c r="F511" t="s">
        <v>9</v>
      </c>
      <c r="G511">
        <v>11455.28</v>
      </c>
      <c r="H511" t="str">
        <f t="shared" si="21"/>
        <v>50-59</v>
      </c>
      <c r="I511" t="str">
        <f t="shared" si="22"/>
        <v>Overweight</v>
      </c>
      <c r="J511" t="str">
        <f t="shared" si="23"/>
        <v>No</v>
      </c>
    </row>
    <row r="512" spans="1:10" x14ac:dyDescent="0.25">
      <c r="A512">
        <v>56</v>
      </c>
      <c r="B512" t="s">
        <v>10</v>
      </c>
      <c r="C512">
        <v>32.11</v>
      </c>
      <c r="D512">
        <v>1</v>
      </c>
      <c r="E512" t="s">
        <v>11</v>
      </c>
      <c r="F512" t="s">
        <v>14</v>
      </c>
      <c r="G512">
        <v>11763.000899999999</v>
      </c>
      <c r="H512" t="str">
        <f t="shared" si="21"/>
        <v>50-59</v>
      </c>
      <c r="I512" t="str">
        <f t="shared" si="22"/>
        <v>Obese</v>
      </c>
      <c r="J512" t="str">
        <f t="shared" si="23"/>
        <v>No</v>
      </c>
    </row>
    <row r="513" spans="1:10" x14ac:dyDescent="0.25">
      <c r="A513">
        <v>27</v>
      </c>
      <c r="B513" t="s">
        <v>10</v>
      </c>
      <c r="C513">
        <v>33.659999999999997</v>
      </c>
      <c r="D513">
        <v>0</v>
      </c>
      <c r="E513" t="s">
        <v>11</v>
      </c>
      <c r="F513" t="s">
        <v>12</v>
      </c>
      <c r="G513">
        <v>2498.4144000000001</v>
      </c>
      <c r="H513" t="str">
        <f t="shared" si="21"/>
        <v>18-29</v>
      </c>
      <c r="I513" t="str">
        <f t="shared" si="22"/>
        <v>Obese</v>
      </c>
      <c r="J513" t="str">
        <f t="shared" si="23"/>
        <v>No</v>
      </c>
    </row>
    <row r="514" spans="1:10" x14ac:dyDescent="0.25">
      <c r="A514">
        <v>51</v>
      </c>
      <c r="B514" t="s">
        <v>10</v>
      </c>
      <c r="C514">
        <v>22.42</v>
      </c>
      <c r="D514">
        <v>0</v>
      </c>
      <c r="E514" t="s">
        <v>11</v>
      </c>
      <c r="F514" t="s">
        <v>14</v>
      </c>
      <c r="G514">
        <v>9361.3268000000007</v>
      </c>
      <c r="H514" t="str">
        <f t="shared" ref="H514:H577" si="24">IF(A514&lt;30, "18-29", IF(A514&lt;40, "30-39", IF(A514&lt;50, "40-49", IF(A514&lt;60, "50-59", "60+"))))</f>
        <v>50-59</v>
      </c>
      <c r="I514" t="str">
        <f t="shared" ref="I514:I577" si="25">IF(C514&lt;18.5, "Underweight", IF(C514&lt;25, "Normal", IF(C514&lt;30,"Overweight","Obese")))</f>
        <v>Normal</v>
      </c>
      <c r="J514" t="str">
        <f t="shared" ref="J514:J577" si="26">IF(G514&gt;20000,"Yes","No")</f>
        <v>No</v>
      </c>
    </row>
    <row r="515" spans="1:10" x14ac:dyDescent="0.25">
      <c r="A515">
        <v>19</v>
      </c>
      <c r="B515" t="s">
        <v>10</v>
      </c>
      <c r="C515">
        <v>30.4</v>
      </c>
      <c r="D515">
        <v>0</v>
      </c>
      <c r="E515" t="s">
        <v>11</v>
      </c>
      <c r="F515" t="s">
        <v>9</v>
      </c>
      <c r="G515">
        <v>1256.299</v>
      </c>
      <c r="H515" t="str">
        <f t="shared" si="24"/>
        <v>18-29</v>
      </c>
      <c r="I515" t="str">
        <f t="shared" si="25"/>
        <v>Obese</v>
      </c>
      <c r="J515" t="str">
        <f t="shared" si="26"/>
        <v>No</v>
      </c>
    </row>
    <row r="516" spans="1:10" x14ac:dyDescent="0.25">
      <c r="A516">
        <v>39</v>
      </c>
      <c r="B516" t="s">
        <v>10</v>
      </c>
      <c r="C516">
        <v>28.3</v>
      </c>
      <c r="D516">
        <v>1</v>
      </c>
      <c r="E516" t="s">
        <v>8</v>
      </c>
      <c r="F516" t="s">
        <v>9</v>
      </c>
      <c r="G516">
        <v>21082.16</v>
      </c>
      <c r="H516" t="str">
        <f t="shared" si="24"/>
        <v>30-39</v>
      </c>
      <c r="I516" t="str">
        <f t="shared" si="25"/>
        <v>Overweight</v>
      </c>
      <c r="J516" t="str">
        <f t="shared" si="26"/>
        <v>Yes</v>
      </c>
    </row>
    <row r="517" spans="1:10" x14ac:dyDescent="0.25">
      <c r="A517">
        <v>58</v>
      </c>
      <c r="B517" t="s">
        <v>10</v>
      </c>
      <c r="C517">
        <v>35.700000000000003</v>
      </c>
      <c r="D517">
        <v>0</v>
      </c>
      <c r="E517" t="s">
        <v>11</v>
      </c>
      <c r="F517" t="s">
        <v>9</v>
      </c>
      <c r="G517">
        <v>11362.754999999999</v>
      </c>
      <c r="H517" t="str">
        <f t="shared" si="24"/>
        <v>50-59</v>
      </c>
      <c r="I517" t="str">
        <f t="shared" si="25"/>
        <v>Obese</v>
      </c>
      <c r="J517" t="str">
        <f t="shared" si="26"/>
        <v>No</v>
      </c>
    </row>
    <row r="518" spans="1:10" x14ac:dyDescent="0.25">
      <c r="A518">
        <v>20</v>
      </c>
      <c r="B518" t="s">
        <v>10</v>
      </c>
      <c r="C518">
        <v>35.31</v>
      </c>
      <c r="D518">
        <v>1</v>
      </c>
      <c r="E518" t="s">
        <v>11</v>
      </c>
      <c r="F518" t="s">
        <v>12</v>
      </c>
      <c r="G518">
        <v>27724.28875</v>
      </c>
      <c r="H518" t="str">
        <f t="shared" si="24"/>
        <v>18-29</v>
      </c>
      <c r="I518" t="str">
        <f t="shared" si="25"/>
        <v>Obese</v>
      </c>
      <c r="J518" t="str">
        <f t="shared" si="26"/>
        <v>Yes</v>
      </c>
    </row>
    <row r="519" spans="1:10" x14ac:dyDescent="0.25">
      <c r="A519">
        <v>45</v>
      </c>
      <c r="B519" t="s">
        <v>10</v>
      </c>
      <c r="C519">
        <v>30.495000000000001</v>
      </c>
      <c r="D519">
        <v>2</v>
      </c>
      <c r="E519" t="s">
        <v>11</v>
      </c>
      <c r="F519" t="s">
        <v>13</v>
      </c>
      <c r="G519">
        <v>8413.4630500000003</v>
      </c>
      <c r="H519" t="str">
        <f t="shared" si="24"/>
        <v>40-49</v>
      </c>
      <c r="I519" t="str">
        <f t="shared" si="25"/>
        <v>Obese</v>
      </c>
      <c r="J519" t="str">
        <f t="shared" si="26"/>
        <v>No</v>
      </c>
    </row>
    <row r="520" spans="1:10" x14ac:dyDescent="0.25">
      <c r="A520">
        <v>35</v>
      </c>
      <c r="B520" t="s">
        <v>7</v>
      </c>
      <c r="C520">
        <v>31</v>
      </c>
      <c r="D520">
        <v>1</v>
      </c>
      <c r="E520" t="s">
        <v>11</v>
      </c>
      <c r="F520" t="s">
        <v>9</v>
      </c>
      <c r="G520">
        <v>5240.7650000000003</v>
      </c>
      <c r="H520" t="str">
        <f t="shared" si="24"/>
        <v>30-39</v>
      </c>
      <c r="I520" t="str">
        <f t="shared" si="25"/>
        <v>Obese</v>
      </c>
      <c r="J520" t="str">
        <f t="shared" si="26"/>
        <v>No</v>
      </c>
    </row>
    <row r="521" spans="1:10" x14ac:dyDescent="0.25">
      <c r="A521">
        <v>31</v>
      </c>
      <c r="B521" t="s">
        <v>10</v>
      </c>
      <c r="C521">
        <v>30.875</v>
      </c>
      <c r="D521">
        <v>0</v>
      </c>
      <c r="E521" t="s">
        <v>11</v>
      </c>
      <c r="F521" t="s">
        <v>14</v>
      </c>
      <c r="G521">
        <v>3857.7592500000001</v>
      </c>
      <c r="H521" t="str">
        <f t="shared" si="24"/>
        <v>30-39</v>
      </c>
      <c r="I521" t="str">
        <f t="shared" si="25"/>
        <v>Obese</v>
      </c>
      <c r="J521" t="str">
        <f t="shared" si="26"/>
        <v>No</v>
      </c>
    </row>
    <row r="522" spans="1:10" x14ac:dyDescent="0.25">
      <c r="A522">
        <v>50</v>
      </c>
      <c r="B522" t="s">
        <v>7</v>
      </c>
      <c r="C522">
        <v>27.36</v>
      </c>
      <c r="D522">
        <v>0</v>
      </c>
      <c r="E522" t="s">
        <v>11</v>
      </c>
      <c r="F522" t="s">
        <v>14</v>
      </c>
      <c r="G522">
        <v>25656.575260000001</v>
      </c>
      <c r="H522" t="str">
        <f t="shared" si="24"/>
        <v>50-59</v>
      </c>
      <c r="I522" t="str">
        <f t="shared" si="25"/>
        <v>Overweight</v>
      </c>
      <c r="J522" t="str">
        <f t="shared" si="26"/>
        <v>Yes</v>
      </c>
    </row>
    <row r="523" spans="1:10" x14ac:dyDescent="0.25">
      <c r="A523">
        <v>32</v>
      </c>
      <c r="B523" t="s">
        <v>7</v>
      </c>
      <c r="C523">
        <v>44.22</v>
      </c>
      <c r="D523">
        <v>0</v>
      </c>
      <c r="E523" t="s">
        <v>11</v>
      </c>
      <c r="F523" t="s">
        <v>12</v>
      </c>
      <c r="G523">
        <v>3994.1777999999999</v>
      </c>
      <c r="H523" t="str">
        <f t="shared" si="24"/>
        <v>30-39</v>
      </c>
      <c r="I523" t="str">
        <f t="shared" si="25"/>
        <v>Obese</v>
      </c>
      <c r="J523" t="str">
        <f t="shared" si="26"/>
        <v>No</v>
      </c>
    </row>
    <row r="524" spans="1:10" x14ac:dyDescent="0.25">
      <c r="A524">
        <v>51</v>
      </c>
      <c r="B524" t="s">
        <v>7</v>
      </c>
      <c r="C524">
        <v>33.914999999999999</v>
      </c>
      <c r="D524">
        <v>0</v>
      </c>
      <c r="E524" t="s">
        <v>11</v>
      </c>
      <c r="F524" t="s">
        <v>14</v>
      </c>
      <c r="G524">
        <v>9866.3048500000004</v>
      </c>
      <c r="H524" t="str">
        <f t="shared" si="24"/>
        <v>50-59</v>
      </c>
      <c r="I524" t="str">
        <f t="shared" si="25"/>
        <v>Obese</v>
      </c>
      <c r="J524" t="str">
        <f t="shared" si="26"/>
        <v>No</v>
      </c>
    </row>
    <row r="525" spans="1:10" x14ac:dyDescent="0.25">
      <c r="A525">
        <v>38</v>
      </c>
      <c r="B525" t="s">
        <v>7</v>
      </c>
      <c r="C525">
        <v>37.729999999999997</v>
      </c>
      <c r="D525">
        <v>0</v>
      </c>
      <c r="E525" t="s">
        <v>11</v>
      </c>
      <c r="F525" t="s">
        <v>12</v>
      </c>
      <c r="G525">
        <v>5397.6166999999996</v>
      </c>
      <c r="H525" t="str">
        <f t="shared" si="24"/>
        <v>30-39</v>
      </c>
      <c r="I525" t="str">
        <f t="shared" si="25"/>
        <v>Obese</v>
      </c>
      <c r="J525" t="str">
        <f t="shared" si="26"/>
        <v>No</v>
      </c>
    </row>
    <row r="526" spans="1:10" x14ac:dyDescent="0.25">
      <c r="A526">
        <v>42</v>
      </c>
      <c r="B526" t="s">
        <v>10</v>
      </c>
      <c r="C526">
        <v>26.07</v>
      </c>
      <c r="D526">
        <v>1</v>
      </c>
      <c r="E526" t="s">
        <v>8</v>
      </c>
      <c r="F526" t="s">
        <v>12</v>
      </c>
      <c r="G526">
        <v>38245.593269999998</v>
      </c>
      <c r="H526" t="str">
        <f t="shared" si="24"/>
        <v>40-49</v>
      </c>
      <c r="I526" t="str">
        <f t="shared" si="25"/>
        <v>Overweight</v>
      </c>
      <c r="J526" t="str">
        <f t="shared" si="26"/>
        <v>Yes</v>
      </c>
    </row>
    <row r="527" spans="1:10" x14ac:dyDescent="0.25">
      <c r="A527">
        <v>18</v>
      </c>
      <c r="B527" t="s">
        <v>7</v>
      </c>
      <c r="C527">
        <v>33.880000000000003</v>
      </c>
      <c r="D527">
        <v>0</v>
      </c>
      <c r="E527" t="s">
        <v>11</v>
      </c>
      <c r="F527" t="s">
        <v>12</v>
      </c>
      <c r="G527">
        <v>11482.63485</v>
      </c>
      <c r="H527" t="str">
        <f t="shared" si="24"/>
        <v>18-29</v>
      </c>
      <c r="I527" t="str">
        <f t="shared" si="25"/>
        <v>Obese</v>
      </c>
      <c r="J527" t="str">
        <f t="shared" si="26"/>
        <v>No</v>
      </c>
    </row>
    <row r="528" spans="1:10" x14ac:dyDescent="0.25">
      <c r="A528">
        <v>19</v>
      </c>
      <c r="B528" t="s">
        <v>7</v>
      </c>
      <c r="C528">
        <v>30.59</v>
      </c>
      <c r="D528">
        <v>2</v>
      </c>
      <c r="E528" t="s">
        <v>11</v>
      </c>
      <c r="F528" t="s">
        <v>13</v>
      </c>
      <c r="G528">
        <v>24059.680189999999</v>
      </c>
      <c r="H528" t="str">
        <f t="shared" si="24"/>
        <v>18-29</v>
      </c>
      <c r="I528" t="str">
        <f t="shared" si="25"/>
        <v>Obese</v>
      </c>
      <c r="J528" t="str">
        <f t="shared" si="26"/>
        <v>Yes</v>
      </c>
    </row>
    <row r="529" spans="1:10" x14ac:dyDescent="0.25">
      <c r="A529">
        <v>51</v>
      </c>
      <c r="B529" t="s">
        <v>7</v>
      </c>
      <c r="C529">
        <v>25.8</v>
      </c>
      <c r="D529">
        <v>1</v>
      </c>
      <c r="E529" t="s">
        <v>11</v>
      </c>
      <c r="F529" t="s">
        <v>9</v>
      </c>
      <c r="G529">
        <v>9861.0249999999996</v>
      </c>
      <c r="H529" t="str">
        <f t="shared" si="24"/>
        <v>50-59</v>
      </c>
      <c r="I529" t="str">
        <f t="shared" si="25"/>
        <v>Overweight</v>
      </c>
      <c r="J529" t="str">
        <f t="shared" si="26"/>
        <v>No</v>
      </c>
    </row>
    <row r="530" spans="1:10" x14ac:dyDescent="0.25">
      <c r="A530">
        <v>46</v>
      </c>
      <c r="B530" t="s">
        <v>10</v>
      </c>
      <c r="C530">
        <v>39.424999999999997</v>
      </c>
      <c r="D530">
        <v>1</v>
      </c>
      <c r="E530" t="s">
        <v>11</v>
      </c>
      <c r="F530" t="s">
        <v>14</v>
      </c>
      <c r="G530">
        <v>8342.9087500000005</v>
      </c>
      <c r="H530" t="str">
        <f t="shared" si="24"/>
        <v>40-49</v>
      </c>
      <c r="I530" t="str">
        <f t="shared" si="25"/>
        <v>Obese</v>
      </c>
      <c r="J530" t="str">
        <f t="shared" si="26"/>
        <v>No</v>
      </c>
    </row>
    <row r="531" spans="1:10" x14ac:dyDescent="0.25">
      <c r="A531">
        <v>18</v>
      </c>
      <c r="B531" t="s">
        <v>10</v>
      </c>
      <c r="C531">
        <v>25.46</v>
      </c>
      <c r="D531">
        <v>0</v>
      </c>
      <c r="E531" t="s">
        <v>11</v>
      </c>
      <c r="F531" t="s">
        <v>14</v>
      </c>
      <c r="G531">
        <v>1708.0014000000001</v>
      </c>
      <c r="H531" t="str">
        <f t="shared" si="24"/>
        <v>18-29</v>
      </c>
      <c r="I531" t="str">
        <f t="shared" si="25"/>
        <v>Overweight</v>
      </c>
      <c r="J531" t="str">
        <f t="shared" si="26"/>
        <v>No</v>
      </c>
    </row>
    <row r="532" spans="1:10" x14ac:dyDescent="0.25">
      <c r="A532">
        <v>57</v>
      </c>
      <c r="B532" t="s">
        <v>10</v>
      </c>
      <c r="C532">
        <v>42.13</v>
      </c>
      <c r="D532">
        <v>1</v>
      </c>
      <c r="E532" t="s">
        <v>8</v>
      </c>
      <c r="F532" t="s">
        <v>12</v>
      </c>
      <c r="G532">
        <v>48675.517699999997</v>
      </c>
      <c r="H532" t="str">
        <f t="shared" si="24"/>
        <v>50-59</v>
      </c>
      <c r="I532" t="str">
        <f t="shared" si="25"/>
        <v>Obese</v>
      </c>
      <c r="J532" t="str">
        <f t="shared" si="26"/>
        <v>Yes</v>
      </c>
    </row>
    <row r="533" spans="1:10" x14ac:dyDescent="0.25">
      <c r="A533">
        <v>62</v>
      </c>
      <c r="B533" t="s">
        <v>7</v>
      </c>
      <c r="C533">
        <v>31.73</v>
      </c>
      <c r="D533">
        <v>0</v>
      </c>
      <c r="E533" t="s">
        <v>11</v>
      </c>
      <c r="F533" t="s">
        <v>14</v>
      </c>
      <c r="G533">
        <v>14043.476699999999</v>
      </c>
      <c r="H533" t="str">
        <f t="shared" si="24"/>
        <v>60+</v>
      </c>
      <c r="I533" t="str">
        <f t="shared" si="25"/>
        <v>Obese</v>
      </c>
      <c r="J533" t="str">
        <f t="shared" si="26"/>
        <v>No</v>
      </c>
    </row>
    <row r="534" spans="1:10" x14ac:dyDescent="0.25">
      <c r="A534">
        <v>59</v>
      </c>
      <c r="B534" t="s">
        <v>10</v>
      </c>
      <c r="C534">
        <v>29.7</v>
      </c>
      <c r="D534">
        <v>2</v>
      </c>
      <c r="E534" t="s">
        <v>11</v>
      </c>
      <c r="F534" t="s">
        <v>12</v>
      </c>
      <c r="G534">
        <v>12925.886</v>
      </c>
      <c r="H534" t="str">
        <f t="shared" si="24"/>
        <v>50-59</v>
      </c>
      <c r="I534" t="str">
        <f t="shared" si="25"/>
        <v>Overweight</v>
      </c>
      <c r="J534" t="str">
        <f t="shared" si="26"/>
        <v>No</v>
      </c>
    </row>
    <row r="535" spans="1:10" x14ac:dyDescent="0.25">
      <c r="A535">
        <v>37</v>
      </c>
      <c r="B535" t="s">
        <v>10</v>
      </c>
      <c r="C535">
        <v>36.19</v>
      </c>
      <c r="D535">
        <v>0</v>
      </c>
      <c r="E535" t="s">
        <v>11</v>
      </c>
      <c r="F535" t="s">
        <v>12</v>
      </c>
      <c r="G535">
        <v>19214.705529999999</v>
      </c>
      <c r="H535" t="str">
        <f t="shared" si="24"/>
        <v>30-39</v>
      </c>
      <c r="I535" t="str">
        <f t="shared" si="25"/>
        <v>Obese</v>
      </c>
      <c r="J535" t="str">
        <f t="shared" si="26"/>
        <v>No</v>
      </c>
    </row>
    <row r="536" spans="1:10" x14ac:dyDescent="0.25">
      <c r="A536">
        <v>64</v>
      </c>
      <c r="B536" t="s">
        <v>10</v>
      </c>
      <c r="C536">
        <v>40.479999999999997</v>
      </c>
      <c r="D536">
        <v>0</v>
      </c>
      <c r="E536" t="s">
        <v>11</v>
      </c>
      <c r="F536" t="s">
        <v>12</v>
      </c>
      <c r="G536">
        <v>13831.1152</v>
      </c>
      <c r="H536" t="str">
        <f t="shared" si="24"/>
        <v>60+</v>
      </c>
      <c r="I536" t="str">
        <f t="shared" si="25"/>
        <v>Obese</v>
      </c>
      <c r="J536" t="str">
        <f t="shared" si="26"/>
        <v>No</v>
      </c>
    </row>
    <row r="537" spans="1:10" x14ac:dyDescent="0.25">
      <c r="A537">
        <v>38</v>
      </c>
      <c r="B537" t="s">
        <v>10</v>
      </c>
      <c r="C537">
        <v>28.024999999999999</v>
      </c>
      <c r="D537">
        <v>1</v>
      </c>
      <c r="E537" t="s">
        <v>11</v>
      </c>
      <c r="F537" t="s">
        <v>14</v>
      </c>
      <c r="G537">
        <v>6067.1267500000004</v>
      </c>
      <c r="H537" t="str">
        <f t="shared" si="24"/>
        <v>30-39</v>
      </c>
      <c r="I537" t="str">
        <f t="shared" si="25"/>
        <v>Overweight</v>
      </c>
      <c r="J537" t="str">
        <f t="shared" si="26"/>
        <v>No</v>
      </c>
    </row>
    <row r="538" spans="1:10" x14ac:dyDescent="0.25">
      <c r="A538">
        <v>33</v>
      </c>
      <c r="B538" t="s">
        <v>7</v>
      </c>
      <c r="C538">
        <v>38.9</v>
      </c>
      <c r="D538">
        <v>3</v>
      </c>
      <c r="E538" t="s">
        <v>11</v>
      </c>
      <c r="F538" t="s">
        <v>9</v>
      </c>
      <c r="G538">
        <v>5972.3779999999997</v>
      </c>
      <c r="H538" t="str">
        <f t="shared" si="24"/>
        <v>30-39</v>
      </c>
      <c r="I538" t="str">
        <f t="shared" si="25"/>
        <v>Obese</v>
      </c>
      <c r="J538" t="str">
        <f t="shared" si="26"/>
        <v>No</v>
      </c>
    </row>
    <row r="539" spans="1:10" x14ac:dyDescent="0.25">
      <c r="A539">
        <v>46</v>
      </c>
      <c r="B539" t="s">
        <v>7</v>
      </c>
      <c r="C539">
        <v>30.2</v>
      </c>
      <c r="D539">
        <v>2</v>
      </c>
      <c r="E539" t="s">
        <v>11</v>
      </c>
      <c r="F539" t="s">
        <v>9</v>
      </c>
      <c r="G539">
        <v>8825.0859999999993</v>
      </c>
      <c r="H539" t="str">
        <f t="shared" si="24"/>
        <v>40-49</v>
      </c>
      <c r="I539" t="str">
        <f t="shared" si="25"/>
        <v>Obese</v>
      </c>
      <c r="J539" t="str">
        <f t="shared" si="26"/>
        <v>No</v>
      </c>
    </row>
    <row r="540" spans="1:10" x14ac:dyDescent="0.25">
      <c r="A540">
        <v>46</v>
      </c>
      <c r="B540" t="s">
        <v>7</v>
      </c>
      <c r="C540">
        <v>28.05</v>
      </c>
      <c r="D540">
        <v>1</v>
      </c>
      <c r="E540" t="s">
        <v>11</v>
      </c>
      <c r="F540" t="s">
        <v>12</v>
      </c>
      <c r="G540">
        <v>8233.0974999999999</v>
      </c>
      <c r="H540" t="str">
        <f t="shared" si="24"/>
        <v>40-49</v>
      </c>
      <c r="I540" t="str">
        <f t="shared" si="25"/>
        <v>Overweight</v>
      </c>
      <c r="J540" t="str">
        <f t="shared" si="26"/>
        <v>No</v>
      </c>
    </row>
    <row r="541" spans="1:10" x14ac:dyDescent="0.25">
      <c r="A541">
        <v>53</v>
      </c>
      <c r="B541" t="s">
        <v>10</v>
      </c>
      <c r="C541">
        <v>31.35</v>
      </c>
      <c r="D541">
        <v>0</v>
      </c>
      <c r="E541" t="s">
        <v>11</v>
      </c>
      <c r="F541" t="s">
        <v>12</v>
      </c>
      <c r="G541">
        <v>27346.04207</v>
      </c>
      <c r="H541" t="str">
        <f t="shared" si="24"/>
        <v>50-59</v>
      </c>
      <c r="I541" t="str">
        <f t="shared" si="25"/>
        <v>Obese</v>
      </c>
      <c r="J541" t="str">
        <f t="shared" si="26"/>
        <v>Yes</v>
      </c>
    </row>
    <row r="542" spans="1:10" x14ac:dyDescent="0.25">
      <c r="A542">
        <v>34</v>
      </c>
      <c r="B542" t="s">
        <v>7</v>
      </c>
      <c r="C542">
        <v>38</v>
      </c>
      <c r="D542">
        <v>3</v>
      </c>
      <c r="E542" t="s">
        <v>11</v>
      </c>
      <c r="F542" t="s">
        <v>9</v>
      </c>
      <c r="G542">
        <v>6196.4480000000003</v>
      </c>
      <c r="H542" t="str">
        <f t="shared" si="24"/>
        <v>30-39</v>
      </c>
      <c r="I542" t="str">
        <f t="shared" si="25"/>
        <v>Obese</v>
      </c>
      <c r="J542" t="str">
        <f t="shared" si="26"/>
        <v>No</v>
      </c>
    </row>
    <row r="543" spans="1:10" x14ac:dyDescent="0.25">
      <c r="A543">
        <v>20</v>
      </c>
      <c r="B543" t="s">
        <v>7</v>
      </c>
      <c r="C543">
        <v>31.79</v>
      </c>
      <c r="D543">
        <v>2</v>
      </c>
      <c r="E543" t="s">
        <v>11</v>
      </c>
      <c r="F543" t="s">
        <v>12</v>
      </c>
      <c r="G543">
        <v>3056.3881000000001</v>
      </c>
      <c r="H543" t="str">
        <f t="shared" si="24"/>
        <v>18-29</v>
      </c>
      <c r="I543" t="str">
        <f t="shared" si="25"/>
        <v>Obese</v>
      </c>
      <c r="J543" t="str">
        <f t="shared" si="26"/>
        <v>No</v>
      </c>
    </row>
    <row r="544" spans="1:10" x14ac:dyDescent="0.25">
      <c r="A544">
        <v>63</v>
      </c>
      <c r="B544" t="s">
        <v>7</v>
      </c>
      <c r="C544">
        <v>36.299999999999997</v>
      </c>
      <c r="D544">
        <v>0</v>
      </c>
      <c r="E544" t="s">
        <v>11</v>
      </c>
      <c r="F544" t="s">
        <v>12</v>
      </c>
      <c r="G544">
        <v>13887.204</v>
      </c>
      <c r="H544" t="str">
        <f t="shared" si="24"/>
        <v>60+</v>
      </c>
      <c r="I544" t="str">
        <f t="shared" si="25"/>
        <v>Obese</v>
      </c>
      <c r="J544" t="str">
        <f t="shared" si="26"/>
        <v>No</v>
      </c>
    </row>
    <row r="545" spans="1:10" x14ac:dyDescent="0.25">
      <c r="A545">
        <v>54</v>
      </c>
      <c r="B545" t="s">
        <v>7</v>
      </c>
      <c r="C545">
        <v>47.41</v>
      </c>
      <c r="D545">
        <v>0</v>
      </c>
      <c r="E545" t="s">
        <v>8</v>
      </c>
      <c r="F545" t="s">
        <v>12</v>
      </c>
      <c r="G545">
        <v>63770.428010000003</v>
      </c>
      <c r="H545" t="str">
        <f t="shared" si="24"/>
        <v>50-59</v>
      </c>
      <c r="I545" t="str">
        <f t="shared" si="25"/>
        <v>Obese</v>
      </c>
      <c r="J545" t="str">
        <f t="shared" si="26"/>
        <v>Yes</v>
      </c>
    </row>
    <row r="546" spans="1:10" x14ac:dyDescent="0.25">
      <c r="A546">
        <v>54</v>
      </c>
      <c r="B546" t="s">
        <v>10</v>
      </c>
      <c r="C546">
        <v>30.21</v>
      </c>
      <c r="D546">
        <v>0</v>
      </c>
      <c r="E546" t="s">
        <v>11</v>
      </c>
      <c r="F546" t="s">
        <v>13</v>
      </c>
      <c r="G546">
        <v>10231.499900000001</v>
      </c>
      <c r="H546" t="str">
        <f t="shared" si="24"/>
        <v>50-59</v>
      </c>
      <c r="I546" t="str">
        <f t="shared" si="25"/>
        <v>Obese</v>
      </c>
      <c r="J546" t="str">
        <f t="shared" si="26"/>
        <v>No</v>
      </c>
    </row>
    <row r="547" spans="1:10" x14ac:dyDescent="0.25">
      <c r="A547">
        <v>49</v>
      </c>
      <c r="B547" t="s">
        <v>10</v>
      </c>
      <c r="C547">
        <v>25.84</v>
      </c>
      <c r="D547">
        <v>2</v>
      </c>
      <c r="E547" t="s">
        <v>8</v>
      </c>
      <c r="F547" t="s">
        <v>13</v>
      </c>
      <c r="G547">
        <v>23807.240600000001</v>
      </c>
      <c r="H547" t="str">
        <f t="shared" si="24"/>
        <v>40-49</v>
      </c>
      <c r="I547" t="str">
        <f t="shared" si="25"/>
        <v>Overweight</v>
      </c>
      <c r="J547" t="str">
        <f t="shared" si="26"/>
        <v>Yes</v>
      </c>
    </row>
    <row r="548" spans="1:10" x14ac:dyDescent="0.25">
      <c r="A548">
        <v>28</v>
      </c>
      <c r="B548" t="s">
        <v>10</v>
      </c>
      <c r="C548">
        <v>35.435000000000002</v>
      </c>
      <c r="D548">
        <v>0</v>
      </c>
      <c r="E548" t="s">
        <v>11</v>
      </c>
      <c r="F548" t="s">
        <v>14</v>
      </c>
      <c r="G548">
        <v>3268.84665</v>
      </c>
      <c r="H548" t="str">
        <f t="shared" si="24"/>
        <v>18-29</v>
      </c>
      <c r="I548" t="str">
        <f t="shared" si="25"/>
        <v>Obese</v>
      </c>
      <c r="J548" t="str">
        <f t="shared" si="26"/>
        <v>No</v>
      </c>
    </row>
    <row r="549" spans="1:10" x14ac:dyDescent="0.25">
      <c r="A549">
        <v>54</v>
      </c>
      <c r="B549" t="s">
        <v>7</v>
      </c>
      <c r="C549">
        <v>46.7</v>
      </c>
      <c r="D549">
        <v>2</v>
      </c>
      <c r="E549" t="s">
        <v>11</v>
      </c>
      <c r="F549" t="s">
        <v>9</v>
      </c>
      <c r="G549">
        <v>11538.421</v>
      </c>
      <c r="H549" t="str">
        <f t="shared" si="24"/>
        <v>50-59</v>
      </c>
      <c r="I549" t="str">
        <f t="shared" si="25"/>
        <v>Obese</v>
      </c>
      <c r="J549" t="str">
        <f t="shared" si="26"/>
        <v>No</v>
      </c>
    </row>
    <row r="550" spans="1:10" x14ac:dyDescent="0.25">
      <c r="A550">
        <v>25</v>
      </c>
      <c r="B550" t="s">
        <v>7</v>
      </c>
      <c r="C550">
        <v>28.594999999999999</v>
      </c>
      <c r="D550">
        <v>0</v>
      </c>
      <c r="E550" t="s">
        <v>11</v>
      </c>
      <c r="F550" t="s">
        <v>14</v>
      </c>
      <c r="G550">
        <v>3213.6220499999999</v>
      </c>
      <c r="H550" t="str">
        <f t="shared" si="24"/>
        <v>18-29</v>
      </c>
      <c r="I550" t="str">
        <f t="shared" si="25"/>
        <v>Overweight</v>
      </c>
      <c r="J550" t="str">
        <f t="shared" si="26"/>
        <v>No</v>
      </c>
    </row>
    <row r="551" spans="1:10" x14ac:dyDescent="0.25">
      <c r="A551">
        <v>43</v>
      </c>
      <c r="B551" t="s">
        <v>7</v>
      </c>
      <c r="C551">
        <v>46.2</v>
      </c>
      <c r="D551">
        <v>0</v>
      </c>
      <c r="E551" t="s">
        <v>8</v>
      </c>
      <c r="F551" t="s">
        <v>12</v>
      </c>
      <c r="G551">
        <v>45863.205000000002</v>
      </c>
      <c r="H551" t="str">
        <f t="shared" si="24"/>
        <v>40-49</v>
      </c>
      <c r="I551" t="str">
        <f t="shared" si="25"/>
        <v>Obese</v>
      </c>
      <c r="J551" t="str">
        <f t="shared" si="26"/>
        <v>Yes</v>
      </c>
    </row>
    <row r="552" spans="1:10" x14ac:dyDescent="0.25">
      <c r="A552">
        <v>63</v>
      </c>
      <c r="B552" t="s">
        <v>10</v>
      </c>
      <c r="C552">
        <v>30.8</v>
      </c>
      <c r="D552">
        <v>0</v>
      </c>
      <c r="E552" t="s">
        <v>11</v>
      </c>
      <c r="F552" t="s">
        <v>9</v>
      </c>
      <c r="G552">
        <v>13390.558999999999</v>
      </c>
      <c r="H552" t="str">
        <f t="shared" si="24"/>
        <v>60+</v>
      </c>
      <c r="I552" t="str">
        <f t="shared" si="25"/>
        <v>Obese</v>
      </c>
      <c r="J552" t="str">
        <f t="shared" si="26"/>
        <v>No</v>
      </c>
    </row>
    <row r="553" spans="1:10" x14ac:dyDescent="0.25">
      <c r="A553">
        <v>32</v>
      </c>
      <c r="B553" t="s">
        <v>7</v>
      </c>
      <c r="C553">
        <v>28.93</v>
      </c>
      <c r="D553">
        <v>0</v>
      </c>
      <c r="E553" t="s">
        <v>11</v>
      </c>
      <c r="F553" t="s">
        <v>12</v>
      </c>
      <c r="G553">
        <v>3972.9247</v>
      </c>
      <c r="H553" t="str">
        <f t="shared" si="24"/>
        <v>30-39</v>
      </c>
      <c r="I553" t="str">
        <f t="shared" si="25"/>
        <v>Overweight</v>
      </c>
      <c r="J553" t="str">
        <f t="shared" si="26"/>
        <v>No</v>
      </c>
    </row>
    <row r="554" spans="1:10" x14ac:dyDescent="0.25">
      <c r="A554">
        <v>62</v>
      </c>
      <c r="B554" t="s">
        <v>10</v>
      </c>
      <c r="C554">
        <v>21.4</v>
      </c>
      <c r="D554">
        <v>0</v>
      </c>
      <c r="E554" t="s">
        <v>11</v>
      </c>
      <c r="F554" t="s">
        <v>9</v>
      </c>
      <c r="G554">
        <v>12957.118</v>
      </c>
      <c r="H554" t="str">
        <f t="shared" si="24"/>
        <v>60+</v>
      </c>
      <c r="I554" t="str">
        <f t="shared" si="25"/>
        <v>Normal</v>
      </c>
      <c r="J554" t="str">
        <f t="shared" si="26"/>
        <v>No</v>
      </c>
    </row>
    <row r="555" spans="1:10" x14ac:dyDescent="0.25">
      <c r="A555">
        <v>52</v>
      </c>
      <c r="B555" t="s">
        <v>7</v>
      </c>
      <c r="C555">
        <v>31.73</v>
      </c>
      <c r="D555">
        <v>2</v>
      </c>
      <c r="E555" t="s">
        <v>11</v>
      </c>
      <c r="F555" t="s">
        <v>13</v>
      </c>
      <c r="G555">
        <v>11187.6567</v>
      </c>
      <c r="H555" t="str">
        <f t="shared" si="24"/>
        <v>50-59</v>
      </c>
      <c r="I555" t="str">
        <f t="shared" si="25"/>
        <v>Obese</v>
      </c>
      <c r="J555" t="str">
        <f t="shared" si="26"/>
        <v>No</v>
      </c>
    </row>
    <row r="556" spans="1:10" x14ac:dyDescent="0.25">
      <c r="A556">
        <v>25</v>
      </c>
      <c r="B556" t="s">
        <v>7</v>
      </c>
      <c r="C556">
        <v>41.325000000000003</v>
      </c>
      <c r="D556">
        <v>0</v>
      </c>
      <c r="E556" t="s">
        <v>11</v>
      </c>
      <c r="F556" t="s">
        <v>14</v>
      </c>
      <c r="G556">
        <v>17878.900679999999</v>
      </c>
      <c r="H556" t="str">
        <f t="shared" si="24"/>
        <v>18-29</v>
      </c>
      <c r="I556" t="str">
        <f t="shared" si="25"/>
        <v>Obese</v>
      </c>
      <c r="J556" t="str">
        <f t="shared" si="26"/>
        <v>No</v>
      </c>
    </row>
    <row r="557" spans="1:10" x14ac:dyDescent="0.25">
      <c r="A557">
        <v>28</v>
      </c>
      <c r="B557" t="s">
        <v>10</v>
      </c>
      <c r="C557">
        <v>23.8</v>
      </c>
      <c r="D557">
        <v>2</v>
      </c>
      <c r="E557" t="s">
        <v>11</v>
      </c>
      <c r="F557" t="s">
        <v>9</v>
      </c>
      <c r="G557">
        <v>3847.674</v>
      </c>
      <c r="H557" t="str">
        <f t="shared" si="24"/>
        <v>18-29</v>
      </c>
      <c r="I557" t="str">
        <f t="shared" si="25"/>
        <v>Normal</v>
      </c>
      <c r="J557" t="str">
        <f t="shared" si="26"/>
        <v>No</v>
      </c>
    </row>
    <row r="558" spans="1:10" x14ac:dyDescent="0.25">
      <c r="A558">
        <v>46</v>
      </c>
      <c r="B558" t="s">
        <v>10</v>
      </c>
      <c r="C558">
        <v>33.44</v>
      </c>
      <c r="D558">
        <v>1</v>
      </c>
      <c r="E558" t="s">
        <v>11</v>
      </c>
      <c r="F558" t="s">
        <v>14</v>
      </c>
      <c r="G558">
        <v>8334.5895999999993</v>
      </c>
      <c r="H558" t="str">
        <f t="shared" si="24"/>
        <v>40-49</v>
      </c>
      <c r="I558" t="str">
        <f t="shared" si="25"/>
        <v>Obese</v>
      </c>
      <c r="J558" t="str">
        <f t="shared" si="26"/>
        <v>No</v>
      </c>
    </row>
    <row r="559" spans="1:10" x14ac:dyDescent="0.25">
      <c r="A559">
        <v>34</v>
      </c>
      <c r="B559" t="s">
        <v>10</v>
      </c>
      <c r="C559">
        <v>34.21</v>
      </c>
      <c r="D559">
        <v>0</v>
      </c>
      <c r="E559" t="s">
        <v>11</v>
      </c>
      <c r="F559" t="s">
        <v>12</v>
      </c>
      <c r="G559">
        <v>3935.1799000000001</v>
      </c>
      <c r="H559" t="str">
        <f t="shared" si="24"/>
        <v>30-39</v>
      </c>
      <c r="I559" t="str">
        <f t="shared" si="25"/>
        <v>Obese</v>
      </c>
      <c r="J559" t="str">
        <f t="shared" si="26"/>
        <v>No</v>
      </c>
    </row>
    <row r="560" spans="1:10" x14ac:dyDescent="0.25">
      <c r="A560">
        <v>35</v>
      </c>
      <c r="B560" t="s">
        <v>7</v>
      </c>
      <c r="C560">
        <v>34.104999999999997</v>
      </c>
      <c r="D560">
        <v>3</v>
      </c>
      <c r="E560" t="s">
        <v>8</v>
      </c>
      <c r="F560" t="s">
        <v>13</v>
      </c>
      <c r="G560">
        <v>39983.425949999997</v>
      </c>
      <c r="H560" t="str">
        <f t="shared" si="24"/>
        <v>30-39</v>
      </c>
      <c r="I560" t="str">
        <f t="shared" si="25"/>
        <v>Obese</v>
      </c>
      <c r="J560" t="str">
        <f t="shared" si="26"/>
        <v>Yes</v>
      </c>
    </row>
    <row r="561" spans="1:10" x14ac:dyDescent="0.25">
      <c r="A561">
        <v>19</v>
      </c>
      <c r="B561" t="s">
        <v>10</v>
      </c>
      <c r="C561">
        <v>35.53</v>
      </c>
      <c r="D561">
        <v>0</v>
      </c>
      <c r="E561" t="s">
        <v>11</v>
      </c>
      <c r="F561" t="s">
        <v>13</v>
      </c>
      <c r="G561">
        <v>1646.4296999999999</v>
      </c>
      <c r="H561" t="str">
        <f t="shared" si="24"/>
        <v>18-29</v>
      </c>
      <c r="I561" t="str">
        <f t="shared" si="25"/>
        <v>Obese</v>
      </c>
      <c r="J561" t="str">
        <f t="shared" si="26"/>
        <v>No</v>
      </c>
    </row>
    <row r="562" spans="1:10" x14ac:dyDescent="0.25">
      <c r="A562">
        <v>46</v>
      </c>
      <c r="B562" t="s">
        <v>7</v>
      </c>
      <c r="C562">
        <v>19.95</v>
      </c>
      <c r="D562">
        <v>2</v>
      </c>
      <c r="E562" t="s">
        <v>11</v>
      </c>
      <c r="F562" t="s">
        <v>13</v>
      </c>
      <c r="G562">
        <v>9193.8384999999998</v>
      </c>
      <c r="H562" t="str">
        <f t="shared" si="24"/>
        <v>40-49</v>
      </c>
      <c r="I562" t="str">
        <f t="shared" si="25"/>
        <v>Normal</v>
      </c>
      <c r="J562" t="str">
        <f t="shared" si="26"/>
        <v>No</v>
      </c>
    </row>
    <row r="563" spans="1:10" x14ac:dyDescent="0.25">
      <c r="A563">
        <v>54</v>
      </c>
      <c r="B563" t="s">
        <v>7</v>
      </c>
      <c r="C563">
        <v>32.68</v>
      </c>
      <c r="D563">
        <v>0</v>
      </c>
      <c r="E563" t="s">
        <v>11</v>
      </c>
      <c r="F563" t="s">
        <v>14</v>
      </c>
      <c r="G563">
        <v>10923.933199999999</v>
      </c>
      <c r="H563" t="str">
        <f t="shared" si="24"/>
        <v>50-59</v>
      </c>
      <c r="I563" t="str">
        <f t="shared" si="25"/>
        <v>Obese</v>
      </c>
      <c r="J563" t="str">
        <f t="shared" si="26"/>
        <v>No</v>
      </c>
    </row>
    <row r="564" spans="1:10" x14ac:dyDescent="0.25">
      <c r="A564">
        <v>27</v>
      </c>
      <c r="B564" t="s">
        <v>10</v>
      </c>
      <c r="C564">
        <v>30.5</v>
      </c>
      <c r="D564">
        <v>0</v>
      </c>
      <c r="E564" t="s">
        <v>11</v>
      </c>
      <c r="F564" t="s">
        <v>9</v>
      </c>
      <c r="G564">
        <v>2494.0219999999999</v>
      </c>
      <c r="H564" t="str">
        <f t="shared" si="24"/>
        <v>18-29</v>
      </c>
      <c r="I564" t="str">
        <f t="shared" si="25"/>
        <v>Obese</v>
      </c>
      <c r="J564" t="str">
        <f t="shared" si="26"/>
        <v>No</v>
      </c>
    </row>
    <row r="565" spans="1:10" x14ac:dyDescent="0.25">
      <c r="A565">
        <v>50</v>
      </c>
      <c r="B565" t="s">
        <v>10</v>
      </c>
      <c r="C565">
        <v>44.77</v>
      </c>
      <c r="D565">
        <v>1</v>
      </c>
      <c r="E565" t="s">
        <v>11</v>
      </c>
      <c r="F565" t="s">
        <v>12</v>
      </c>
      <c r="G565">
        <v>9058.7302999999993</v>
      </c>
      <c r="H565" t="str">
        <f t="shared" si="24"/>
        <v>50-59</v>
      </c>
      <c r="I565" t="str">
        <f t="shared" si="25"/>
        <v>Obese</v>
      </c>
      <c r="J565" t="str">
        <f t="shared" si="26"/>
        <v>No</v>
      </c>
    </row>
    <row r="566" spans="1:10" x14ac:dyDescent="0.25">
      <c r="A566">
        <v>18</v>
      </c>
      <c r="B566" t="s">
        <v>7</v>
      </c>
      <c r="C566">
        <v>32.119999999999997</v>
      </c>
      <c r="D566">
        <v>2</v>
      </c>
      <c r="E566" t="s">
        <v>11</v>
      </c>
      <c r="F566" t="s">
        <v>12</v>
      </c>
      <c r="G566">
        <v>2801.2588000000001</v>
      </c>
      <c r="H566" t="str">
        <f t="shared" si="24"/>
        <v>18-29</v>
      </c>
      <c r="I566" t="str">
        <f t="shared" si="25"/>
        <v>Obese</v>
      </c>
      <c r="J566" t="str">
        <f t="shared" si="26"/>
        <v>No</v>
      </c>
    </row>
    <row r="567" spans="1:10" x14ac:dyDescent="0.25">
      <c r="A567">
        <v>19</v>
      </c>
      <c r="B567" t="s">
        <v>7</v>
      </c>
      <c r="C567">
        <v>30.495000000000001</v>
      </c>
      <c r="D567">
        <v>0</v>
      </c>
      <c r="E567" t="s">
        <v>11</v>
      </c>
      <c r="F567" t="s">
        <v>13</v>
      </c>
      <c r="G567">
        <v>2128.4310500000001</v>
      </c>
      <c r="H567" t="str">
        <f t="shared" si="24"/>
        <v>18-29</v>
      </c>
      <c r="I567" t="str">
        <f t="shared" si="25"/>
        <v>Obese</v>
      </c>
      <c r="J567" t="str">
        <f t="shared" si="26"/>
        <v>No</v>
      </c>
    </row>
    <row r="568" spans="1:10" x14ac:dyDescent="0.25">
      <c r="A568">
        <v>38</v>
      </c>
      <c r="B568" t="s">
        <v>7</v>
      </c>
      <c r="C568">
        <v>40.564999999999998</v>
      </c>
      <c r="D568">
        <v>1</v>
      </c>
      <c r="E568" t="s">
        <v>11</v>
      </c>
      <c r="F568" t="s">
        <v>13</v>
      </c>
      <c r="G568">
        <v>6373.55735</v>
      </c>
      <c r="H568" t="str">
        <f t="shared" si="24"/>
        <v>30-39</v>
      </c>
      <c r="I568" t="str">
        <f t="shared" si="25"/>
        <v>Obese</v>
      </c>
      <c r="J568" t="str">
        <f t="shared" si="26"/>
        <v>No</v>
      </c>
    </row>
    <row r="569" spans="1:10" x14ac:dyDescent="0.25">
      <c r="A569">
        <v>41</v>
      </c>
      <c r="B569" t="s">
        <v>10</v>
      </c>
      <c r="C569">
        <v>30.59</v>
      </c>
      <c r="D569">
        <v>2</v>
      </c>
      <c r="E569" t="s">
        <v>11</v>
      </c>
      <c r="F569" t="s">
        <v>13</v>
      </c>
      <c r="G569">
        <v>7256.7231000000002</v>
      </c>
      <c r="H569" t="str">
        <f t="shared" si="24"/>
        <v>40-49</v>
      </c>
      <c r="I569" t="str">
        <f t="shared" si="25"/>
        <v>Obese</v>
      </c>
      <c r="J569" t="str">
        <f t="shared" si="26"/>
        <v>No</v>
      </c>
    </row>
    <row r="570" spans="1:10" x14ac:dyDescent="0.25">
      <c r="A570">
        <v>49</v>
      </c>
      <c r="B570" t="s">
        <v>7</v>
      </c>
      <c r="C570">
        <v>31.9</v>
      </c>
      <c r="D570">
        <v>5</v>
      </c>
      <c r="E570" t="s">
        <v>11</v>
      </c>
      <c r="F570" t="s">
        <v>9</v>
      </c>
      <c r="G570">
        <v>11552.904</v>
      </c>
      <c r="H570" t="str">
        <f t="shared" si="24"/>
        <v>40-49</v>
      </c>
      <c r="I570" t="str">
        <f t="shared" si="25"/>
        <v>Obese</v>
      </c>
      <c r="J570" t="str">
        <f t="shared" si="26"/>
        <v>No</v>
      </c>
    </row>
    <row r="571" spans="1:10" x14ac:dyDescent="0.25">
      <c r="A571">
        <v>48</v>
      </c>
      <c r="B571" t="s">
        <v>10</v>
      </c>
      <c r="C571">
        <v>40.564999999999998</v>
      </c>
      <c r="D571">
        <v>2</v>
      </c>
      <c r="E571" t="s">
        <v>8</v>
      </c>
      <c r="F571" t="s">
        <v>13</v>
      </c>
      <c r="G571">
        <v>45702.022349999999</v>
      </c>
      <c r="H571" t="str">
        <f t="shared" si="24"/>
        <v>40-49</v>
      </c>
      <c r="I571" t="str">
        <f t="shared" si="25"/>
        <v>Obese</v>
      </c>
      <c r="J571" t="str">
        <f t="shared" si="26"/>
        <v>Yes</v>
      </c>
    </row>
    <row r="572" spans="1:10" x14ac:dyDescent="0.25">
      <c r="A572">
        <v>31</v>
      </c>
      <c r="B572" t="s">
        <v>7</v>
      </c>
      <c r="C572">
        <v>29.1</v>
      </c>
      <c r="D572">
        <v>0</v>
      </c>
      <c r="E572" t="s">
        <v>11</v>
      </c>
      <c r="F572" t="s">
        <v>9</v>
      </c>
      <c r="G572">
        <v>3761.2919999999999</v>
      </c>
      <c r="H572" t="str">
        <f t="shared" si="24"/>
        <v>30-39</v>
      </c>
      <c r="I572" t="str">
        <f t="shared" si="25"/>
        <v>Overweight</v>
      </c>
      <c r="J572" t="str">
        <f t="shared" si="26"/>
        <v>No</v>
      </c>
    </row>
    <row r="573" spans="1:10" x14ac:dyDescent="0.25">
      <c r="A573">
        <v>18</v>
      </c>
      <c r="B573" t="s">
        <v>7</v>
      </c>
      <c r="C573">
        <v>37.29</v>
      </c>
      <c r="D573">
        <v>1</v>
      </c>
      <c r="E573" t="s">
        <v>11</v>
      </c>
      <c r="F573" t="s">
        <v>12</v>
      </c>
      <c r="G573">
        <v>2219.4450999999999</v>
      </c>
      <c r="H573" t="str">
        <f t="shared" si="24"/>
        <v>18-29</v>
      </c>
      <c r="I573" t="str">
        <f t="shared" si="25"/>
        <v>Obese</v>
      </c>
      <c r="J573" t="str">
        <f t="shared" si="26"/>
        <v>No</v>
      </c>
    </row>
    <row r="574" spans="1:10" x14ac:dyDescent="0.25">
      <c r="A574">
        <v>30</v>
      </c>
      <c r="B574" t="s">
        <v>7</v>
      </c>
      <c r="C574">
        <v>43.12</v>
      </c>
      <c r="D574">
        <v>2</v>
      </c>
      <c r="E574" t="s">
        <v>11</v>
      </c>
      <c r="F574" t="s">
        <v>12</v>
      </c>
      <c r="G574">
        <v>4753.6368000000002</v>
      </c>
      <c r="H574" t="str">
        <f t="shared" si="24"/>
        <v>30-39</v>
      </c>
      <c r="I574" t="str">
        <f t="shared" si="25"/>
        <v>Obese</v>
      </c>
      <c r="J574" t="str">
        <f t="shared" si="26"/>
        <v>No</v>
      </c>
    </row>
    <row r="575" spans="1:10" x14ac:dyDescent="0.25">
      <c r="A575">
        <v>62</v>
      </c>
      <c r="B575" t="s">
        <v>7</v>
      </c>
      <c r="C575">
        <v>36.86</v>
      </c>
      <c r="D575">
        <v>1</v>
      </c>
      <c r="E575" t="s">
        <v>11</v>
      </c>
      <c r="F575" t="s">
        <v>14</v>
      </c>
      <c r="G575">
        <v>31620.001059999999</v>
      </c>
      <c r="H575" t="str">
        <f t="shared" si="24"/>
        <v>60+</v>
      </c>
      <c r="I575" t="str">
        <f t="shared" si="25"/>
        <v>Obese</v>
      </c>
      <c r="J575" t="str">
        <f t="shared" si="26"/>
        <v>Yes</v>
      </c>
    </row>
    <row r="576" spans="1:10" x14ac:dyDescent="0.25">
      <c r="A576">
        <v>57</v>
      </c>
      <c r="B576" t="s">
        <v>7</v>
      </c>
      <c r="C576">
        <v>34.295000000000002</v>
      </c>
      <c r="D576">
        <v>2</v>
      </c>
      <c r="E576" t="s">
        <v>11</v>
      </c>
      <c r="F576" t="s">
        <v>14</v>
      </c>
      <c r="G576">
        <v>13224.057049999999</v>
      </c>
      <c r="H576" t="str">
        <f t="shared" si="24"/>
        <v>50-59</v>
      </c>
      <c r="I576" t="str">
        <f t="shared" si="25"/>
        <v>Obese</v>
      </c>
      <c r="J576" t="str">
        <f t="shared" si="26"/>
        <v>No</v>
      </c>
    </row>
    <row r="577" spans="1:10" x14ac:dyDescent="0.25">
      <c r="A577">
        <v>58</v>
      </c>
      <c r="B577" t="s">
        <v>7</v>
      </c>
      <c r="C577">
        <v>27.17</v>
      </c>
      <c r="D577">
        <v>0</v>
      </c>
      <c r="E577" t="s">
        <v>11</v>
      </c>
      <c r="F577" t="s">
        <v>13</v>
      </c>
      <c r="G577">
        <v>12222.898300000001</v>
      </c>
      <c r="H577" t="str">
        <f t="shared" si="24"/>
        <v>50-59</v>
      </c>
      <c r="I577" t="str">
        <f t="shared" si="25"/>
        <v>Overweight</v>
      </c>
      <c r="J577" t="str">
        <f t="shared" si="26"/>
        <v>No</v>
      </c>
    </row>
    <row r="578" spans="1:10" x14ac:dyDescent="0.25">
      <c r="A578">
        <v>22</v>
      </c>
      <c r="B578" t="s">
        <v>10</v>
      </c>
      <c r="C578">
        <v>26.84</v>
      </c>
      <c r="D578">
        <v>0</v>
      </c>
      <c r="E578" t="s">
        <v>11</v>
      </c>
      <c r="F578" t="s">
        <v>12</v>
      </c>
      <c r="G578">
        <v>1664.9996000000001</v>
      </c>
      <c r="H578" t="str">
        <f t="shared" ref="H578:H641" si="27">IF(A578&lt;30, "18-29", IF(A578&lt;40, "30-39", IF(A578&lt;50, "40-49", IF(A578&lt;60, "50-59", "60+"))))</f>
        <v>18-29</v>
      </c>
      <c r="I578" t="str">
        <f t="shared" ref="I578:I641" si="28">IF(C578&lt;18.5, "Underweight", IF(C578&lt;25, "Normal", IF(C578&lt;30,"Overweight","Obese")))</f>
        <v>Overweight</v>
      </c>
      <c r="J578" t="str">
        <f t="shared" ref="J578:J641" si="29">IF(G578&gt;20000,"Yes","No")</f>
        <v>No</v>
      </c>
    </row>
    <row r="579" spans="1:10" x14ac:dyDescent="0.25">
      <c r="A579">
        <v>31</v>
      </c>
      <c r="B579" t="s">
        <v>7</v>
      </c>
      <c r="C579">
        <v>38.094999999999999</v>
      </c>
      <c r="D579">
        <v>1</v>
      </c>
      <c r="E579" t="s">
        <v>8</v>
      </c>
      <c r="F579" t="s">
        <v>14</v>
      </c>
      <c r="G579">
        <v>58571.074480000003</v>
      </c>
      <c r="H579" t="str">
        <f t="shared" si="27"/>
        <v>30-39</v>
      </c>
      <c r="I579" t="str">
        <f t="shared" si="28"/>
        <v>Obese</v>
      </c>
      <c r="J579" t="str">
        <f t="shared" si="29"/>
        <v>Yes</v>
      </c>
    </row>
    <row r="580" spans="1:10" x14ac:dyDescent="0.25">
      <c r="A580">
        <v>52</v>
      </c>
      <c r="B580" t="s">
        <v>10</v>
      </c>
      <c r="C580">
        <v>30.2</v>
      </c>
      <c r="D580">
        <v>1</v>
      </c>
      <c r="E580" t="s">
        <v>11</v>
      </c>
      <c r="F580" t="s">
        <v>9</v>
      </c>
      <c r="G580">
        <v>9724.5300000000007</v>
      </c>
      <c r="H580" t="str">
        <f t="shared" si="27"/>
        <v>50-59</v>
      </c>
      <c r="I580" t="str">
        <f t="shared" si="28"/>
        <v>Obese</v>
      </c>
      <c r="J580" t="str">
        <f t="shared" si="29"/>
        <v>No</v>
      </c>
    </row>
    <row r="581" spans="1:10" x14ac:dyDescent="0.25">
      <c r="A581">
        <v>25</v>
      </c>
      <c r="B581" t="s">
        <v>7</v>
      </c>
      <c r="C581">
        <v>23.465</v>
      </c>
      <c r="D581">
        <v>0</v>
      </c>
      <c r="E581" t="s">
        <v>11</v>
      </c>
      <c r="F581" t="s">
        <v>14</v>
      </c>
      <c r="G581">
        <v>3206.4913499999998</v>
      </c>
      <c r="H581" t="str">
        <f t="shared" si="27"/>
        <v>18-29</v>
      </c>
      <c r="I581" t="str">
        <f t="shared" si="28"/>
        <v>Normal</v>
      </c>
      <c r="J581" t="str">
        <f t="shared" si="29"/>
        <v>No</v>
      </c>
    </row>
    <row r="582" spans="1:10" x14ac:dyDescent="0.25">
      <c r="A582">
        <v>59</v>
      </c>
      <c r="B582" t="s">
        <v>10</v>
      </c>
      <c r="C582">
        <v>25.46</v>
      </c>
      <c r="D582">
        <v>1</v>
      </c>
      <c r="E582" t="s">
        <v>11</v>
      </c>
      <c r="F582" t="s">
        <v>14</v>
      </c>
      <c r="G582">
        <v>12913.992399999999</v>
      </c>
      <c r="H582" t="str">
        <f t="shared" si="27"/>
        <v>50-59</v>
      </c>
      <c r="I582" t="str">
        <f t="shared" si="28"/>
        <v>Overweight</v>
      </c>
      <c r="J582" t="str">
        <f t="shared" si="29"/>
        <v>No</v>
      </c>
    </row>
    <row r="583" spans="1:10" x14ac:dyDescent="0.25">
      <c r="A583">
        <v>19</v>
      </c>
      <c r="B583" t="s">
        <v>10</v>
      </c>
      <c r="C583">
        <v>30.59</v>
      </c>
      <c r="D583">
        <v>0</v>
      </c>
      <c r="E583" t="s">
        <v>11</v>
      </c>
      <c r="F583" t="s">
        <v>13</v>
      </c>
      <c r="G583">
        <v>1639.5631000000001</v>
      </c>
      <c r="H583" t="str">
        <f t="shared" si="27"/>
        <v>18-29</v>
      </c>
      <c r="I583" t="str">
        <f t="shared" si="28"/>
        <v>Obese</v>
      </c>
      <c r="J583" t="str">
        <f t="shared" si="29"/>
        <v>No</v>
      </c>
    </row>
    <row r="584" spans="1:10" x14ac:dyDescent="0.25">
      <c r="A584">
        <v>39</v>
      </c>
      <c r="B584" t="s">
        <v>10</v>
      </c>
      <c r="C584">
        <v>45.43</v>
      </c>
      <c r="D584">
        <v>2</v>
      </c>
      <c r="E584" t="s">
        <v>11</v>
      </c>
      <c r="F584" t="s">
        <v>12</v>
      </c>
      <c r="G584">
        <v>6356.2707</v>
      </c>
      <c r="H584" t="str">
        <f t="shared" si="27"/>
        <v>30-39</v>
      </c>
      <c r="I584" t="str">
        <f t="shared" si="28"/>
        <v>Obese</v>
      </c>
      <c r="J584" t="str">
        <f t="shared" si="29"/>
        <v>No</v>
      </c>
    </row>
    <row r="585" spans="1:10" x14ac:dyDescent="0.25">
      <c r="A585">
        <v>32</v>
      </c>
      <c r="B585" t="s">
        <v>7</v>
      </c>
      <c r="C585">
        <v>23.65</v>
      </c>
      <c r="D585">
        <v>1</v>
      </c>
      <c r="E585" t="s">
        <v>11</v>
      </c>
      <c r="F585" t="s">
        <v>12</v>
      </c>
      <c r="G585">
        <v>17626.239509999999</v>
      </c>
      <c r="H585" t="str">
        <f t="shared" si="27"/>
        <v>30-39</v>
      </c>
      <c r="I585" t="str">
        <f t="shared" si="28"/>
        <v>Normal</v>
      </c>
      <c r="J585" t="str">
        <f t="shared" si="29"/>
        <v>No</v>
      </c>
    </row>
    <row r="586" spans="1:10" x14ac:dyDescent="0.25">
      <c r="A586">
        <v>19</v>
      </c>
      <c r="B586" t="s">
        <v>10</v>
      </c>
      <c r="C586">
        <v>20.7</v>
      </c>
      <c r="D586">
        <v>0</v>
      </c>
      <c r="E586" t="s">
        <v>11</v>
      </c>
      <c r="F586" t="s">
        <v>9</v>
      </c>
      <c r="G586">
        <v>1242.816</v>
      </c>
      <c r="H586" t="str">
        <f t="shared" si="27"/>
        <v>18-29</v>
      </c>
      <c r="I586" t="str">
        <f t="shared" si="28"/>
        <v>Normal</v>
      </c>
      <c r="J586" t="str">
        <f t="shared" si="29"/>
        <v>No</v>
      </c>
    </row>
    <row r="587" spans="1:10" x14ac:dyDescent="0.25">
      <c r="A587">
        <v>33</v>
      </c>
      <c r="B587" t="s">
        <v>7</v>
      </c>
      <c r="C587">
        <v>28.27</v>
      </c>
      <c r="D587">
        <v>1</v>
      </c>
      <c r="E587" t="s">
        <v>11</v>
      </c>
      <c r="F587" t="s">
        <v>12</v>
      </c>
      <c r="G587">
        <v>4779.6022999999996</v>
      </c>
      <c r="H587" t="str">
        <f t="shared" si="27"/>
        <v>30-39</v>
      </c>
      <c r="I587" t="str">
        <f t="shared" si="28"/>
        <v>Overweight</v>
      </c>
      <c r="J587" t="str">
        <f t="shared" si="29"/>
        <v>No</v>
      </c>
    </row>
    <row r="588" spans="1:10" x14ac:dyDescent="0.25">
      <c r="A588">
        <v>21</v>
      </c>
      <c r="B588" t="s">
        <v>10</v>
      </c>
      <c r="C588">
        <v>20.234999999999999</v>
      </c>
      <c r="D588">
        <v>3</v>
      </c>
      <c r="E588" t="s">
        <v>11</v>
      </c>
      <c r="F588" t="s">
        <v>14</v>
      </c>
      <c r="G588">
        <v>3861.2096499999998</v>
      </c>
      <c r="H588" t="str">
        <f t="shared" si="27"/>
        <v>18-29</v>
      </c>
      <c r="I588" t="str">
        <f t="shared" si="28"/>
        <v>Normal</v>
      </c>
      <c r="J588" t="str">
        <f t="shared" si="29"/>
        <v>No</v>
      </c>
    </row>
    <row r="589" spans="1:10" x14ac:dyDescent="0.25">
      <c r="A589">
        <v>34</v>
      </c>
      <c r="B589" t="s">
        <v>7</v>
      </c>
      <c r="C589">
        <v>30.21</v>
      </c>
      <c r="D589">
        <v>1</v>
      </c>
      <c r="E589" t="s">
        <v>8</v>
      </c>
      <c r="F589" t="s">
        <v>13</v>
      </c>
      <c r="G589">
        <v>43943.876100000001</v>
      </c>
      <c r="H589" t="str">
        <f t="shared" si="27"/>
        <v>30-39</v>
      </c>
      <c r="I589" t="str">
        <f t="shared" si="28"/>
        <v>Obese</v>
      </c>
      <c r="J589" t="str">
        <f t="shared" si="29"/>
        <v>Yes</v>
      </c>
    </row>
    <row r="590" spans="1:10" x14ac:dyDescent="0.25">
      <c r="A590">
        <v>61</v>
      </c>
      <c r="B590" t="s">
        <v>7</v>
      </c>
      <c r="C590">
        <v>35.909999999999997</v>
      </c>
      <c r="D590">
        <v>0</v>
      </c>
      <c r="E590" t="s">
        <v>11</v>
      </c>
      <c r="F590" t="s">
        <v>14</v>
      </c>
      <c r="G590">
        <v>13635.6379</v>
      </c>
      <c r="H590" t="str">
        <f t="shared" si="27"/>
        <v>60+</v>
      </c>
      <c r="I590" t="str">
        <f t="shared" si="28"/>
        <v>Obese</v>
      </c>
      <c r="J590" t="str">
        <f t="shared" si="29"/>
        <v>No</v>
      </c>
    </row>
    <row r="591" spans="1:10" x14ac:dyDescent="0.25">
      <c r="A591">
        <v>38</v>
      </c>
      <c r="B591" t="s">
        <v>7</v>
      </c>
      <c r="C591">
        <v>30.69</v>
      </c>
      <c r="D591">
        <v>1</v>
      </c>
      <c r="E591" t="s">
        <v>11</v>
      </c>
      <c r="F591" t="s">
        <v>12</v>
      </c>
      <c r="G591">
        <v>5976.8311000000003</v>
      </c>
      <c r="H591" t="str">
        <f t="shared" si="27"/>
        <v>30-39</v>
      </c>
      <c r="I591" t="str">
        <f t="shared" si="28"/>
        <v>Obese</v>
      </c>
      <c r="J591" t="str">
        <f t="shared" si="29"/>
        <v>No</v>
      </c>
    </row>
    <row r="592" spans="1:10" x14ac:dyDescent="0.25">
      <c r="A592">
        <v>58</v>
      </c>
      <c r="B592" t="s">
        <v>7</v>
      </c>
      <c r="C592">
        <v>29</v>
      </c>
      <c r="D592">
        <v>0</v>
      </c>
      <c r="E592" t="s">
        <v>11</v>
      </c>
      <c r="F592" t="s">
        <v>9</v>
      </c>
      <c r="G592">
        <v>11842.441999999999</v>
      </c>
      <c r="H592" t="str">
        <f t="shared" si="27"/>
        <v>50-59</v>
      </c>
      <c r="I592" t="str">
        <f t="shared" si="28"/>
        <v>Overweight</v>
      </c>
      <c r="J592" t="str">
        <f t="shared" si="29"/>
        <v>No</v>
      </c>
    </row>
    <row r="593" spans="1:10" x14ac:dyDescent="0.25">
      <c r="A593">
        <v>47</v>
      </c>
      <c r="B593" t="s">
        <v>10</v>
      </c>
      <c r="C593">
        <v>19.57</v>
      </c>
      <c r="D593">
        <v>1</v>
      </c>
      <c r="E593" t="s">
        <v>11</v>
      </c>
      <c r="F593" t="s">
        <v>13</v>
      </c>
      <c r="G593">
        <v>8428.0692999999992</v>
      </c>
      <c r="H593" t="str">
        <f t="shared" si="27"/>
        <v>40-49</v>
      </c>
      <c r="I593" t="str">
        <f t="shared" si="28"/>
        <v>Normal</v>
      </c>
      <c r="J593" t="str">
        <f t="shared" si="29"/>
        <v>No</v>
      </c>
    </row>
    <row r="594" spans="1:10" x14ac:dyDescent="0.25">
      <c r="A594">
        <v>20</v>
      </c>
      <c r="B594" t="s">
        <v>10</v>
      </c>
      <c r="C594">
        <v>31.13</v>
      </c>
      <c r="D594">
        <v>2</v>
      </c>
      <c r="E594" t="s">
        <v>11</v>
      </c>
      <c r="F594" t="s">
        <v>12</v>
      </c>
      <c r="G594">
        <v>2566.4706999999999</v>
      </c>
      <c r="H594" t="str">
        <f t="shared" si="27"/>
        <v>18-29</v>
      </c>
      <c r="I594" t="str">
        <f t="shared" si="28"/>
        <v>Obese</v>
      </c>
      <c r="J594" t="str">
        <f t="shared" si="29"/>
        <v>No</v>
      </c>
    </row>
    <row r="595" spans="1:10" x14ac:dyDescent="0.25">
      <c r="A595">
        <v>21</v>
      </c>
      <c r="B595" t="s">
        <v>7</v>
      </c>
      <c r="C595">
        <v>21.85</v>
      </c>
      <c r="D595">
        <v>1</v>
      </c>
      <c r="E595" t="s">
        <v>8</v>
      </c>
      <c r="F595" t="s">
        <v>14</v>
      </c>
      <c r="G595">
        <v>15359.104499999999</v>
      </c>
      <c r="H595" t="str">
        <f t="shared" si="27"/>
        <v>18-29</v>
      </c>
      <c r="I595" t="str">
        <f t="shared" si="28"/>
        <v>Normal</v>
      </c>
      <c r="J595" t="str">
        <f t="shared" si="29"/>
        <v>No</v>
      </c>
    </row>
    <row r="596" spans="1:10" x14ac:dyDescent="0.25">
      <c r="A596">
        <v>41</v>
      </c>
      <c r="B596" t="s">
        <v>10</v>
      </c>
      <c r="C596">
        <v>40.26</v>
      </c>
      <c r="D596">
        <v>0</v>
      </c>
      <c r="E596" t="s">
        <v>11</v>
      </c>
      <c r="F596" t="s">
        <v>12</v>
      </c>
      <c r="G596">
        <v>5709.1643999999997</v>
      </c>
      <c r="H596" t="str">
        <f t="shared" si="27"/>
        <v>40-49</v>
      </c>
      <c r="I596" t="str">
        <f t="shared" si="28"/>
        <v>Obese</v>
      </c>
      <c r="J596" t="str">
        <f t="shared" si="29"/>
        <v>No</v>
      </c>
    </row>
    <row r="597" spans="1:10" x14ac:dyDescent="0.25">
      <c r="A597">
        <v>46</v>
      </c>
      <c r="B597" t="s">
        <v>7</v>
      </c>
      <c r="C597">
        <v>33.725000000000001</v>
      </c>
      <c r="D597">
        <v>1</v>
      </c>
      <c r="E597" t="s">
        <v>11</v>
      </c>
      <c r="F597" t="s">
        <v>14</v>
      </c>
      <c r="G597">
        <v>8823.9857499999998</v>
      </c>
      <c r="H597" t="str">
        <f t="shared" si="27"/>
        <v>40-49</v>
      </c>
      <c r="I597" t="str">
        <f t="shared" si="28"/>
        <v>Obese</v>
      </c>
      <c r="J597" t="str">
        <f t="shared" si="29"/>
        <v>No</v>
      </c>
    </row>
    <row r="598" spans="1:10" x14ac:dyDescent="0.25">
      <c r="A598">
        <v>42</v>
      </c>
      <c r="B598" t="s">
        <v>7</v>
      </c>
      <c r="C598">
        <v>29.48</v>
      </c>
      <c r="D598">
        <v>2</v>
      </c>
      <c r="E598" t="s">
        <v>11</v>
      </c>
      <c r="F598" t="s">
        <v>12</v>
      </c>
      <c r="G598">
        <v>7640.3091999999997</v>
      </c>
      <c r="H598" t="str">
        <f t="shared" si="27"/>
        <v>40-49</v>
      </c>
      <c r="I598" t="str">
        <f t="shared" si="28"/>
        <v>Overweight</v>
      </c>
      <c r="J598" t="str">
        <f t="shared" si="29"/>
        <v>No</v>
      </c>
    </row>
    <row r="599" spans="1:10" x14ac:dyDescent="0.25">
      <c r="A599">
        <v>34</v>
      </c>
      <c r="B599" t="s">
        <v>7</v>
      </c>
      <c r="C599">
        <v>33.25</v>
      </c>
      <c r="D599">
        <v>1</v>
      </c>
      <c r="E599" t="s">
        <v>11</v>
      </c>
      <c r="F599" t="s">
        <v>14</v>
      </c>
      <c r="G599">
        <v>5594.8455000000004</v>
      </c>
      <c r="H599" t="str">
        <f t="shared" si="27"/>
        <v>30-39</v>
      </c>
      <c r="I599" t="str">
        <f t="shared" si="28"/>
        <v>Obese</v>
      </c>
      <c r="J599" t="str">
        <f t="shared" si="29"/>
        <v>No</v>
      </c>
    </row>
    <row r="600" spans="1:10" x14ac:dyDescent="0.25">
      <c r="A600">
        <v>43</v>
      </c>
      <c r="B600" t="s">
        <v>10</v>
      </c>
      <c r="C600">
        <v>32.6</v>
      </c>
      <c r="D600">
        <v>2</v>
      </c>
      <c r="E600" t="s">
        <v>11</v>
      </c>
      <c r="F600" t="s">
        <v>9</v>
      </c>
      <c r="G600">
        <v>7441.5010000000002</v>
      </c>
      <c r="H600" t="str">
        <f t="shared" si="27"/>
        <v>40-49</v>
      </c>
      <c r="I600" t="str">
        <f t="shared" si="28"/>
        <v>Obese</v>
      </c>
      <c r="J600" t="str">
        <f t="shared" si="29"/>
        <v>No</v>
      </c>
    </row>
    <row r="601" spans="1:10" x14ac:dyDescent="0.25">
      <c r="A601">
        <v>52</v>
      </c>
      <c r="B601" t="s">
        <v>7</v>
      </c>
      <c r="C601">
        <v>37.524999999999999</v>
      </c>
      <c r="D601">
        <v>2</v>
      </c>
      <c r="E601" t="s">
        <v>11</v>
      </c>
      <c r="F601" t="s">
        <v>13</v>
      </c>
      <c r="G601">
        <v>33471.971890000001</v>
      </c>
      <c r="H601" t="str">
        <f t="shared" si="27"/>
        <v>50-59</v>
      </c>
      <c r="I601" t="str">
        <f t="shared" si="28"/>
        <v>Obese</v>
      </c>
      <c r="J601" t="str">
        <f t="shared" si="29"/>
        <v>Yes</v>
      </c>
    </row>
    <row r="602" spans="1:10" x14ac:dyDescent="0.25">
      <c r="A602">
        <v>18</v>
      </c>
      <c r="B602" t="s">
        <v>7</v>
      </c>
      <c r="C602">
        <v>39.159999999999997</v>
      </c>
      <c r="D602">
        <v>0</v>
      </c>
      <c r="E602" t="s">
        <v>11</v>
      </c>
      <c r="F602" t="s">
        <v>12</v>
      </c>
      <c r="G602">
        <v>1633.0444</v>
      </c>
      <c r="H602" t="str">
        <f t="shared" si="27"/>
        <v>18-29</v>
      </c>
      <c r="I602" t="str">
        <f t="shared" si="28"/>
        <v>Obese</v>
      </c>
      <c r="J602" t="str">
        <f t="shared" si="29"/>
        <v>No</v>
      </c>
    </row>
    <row r="603" spans="1:10" x14ac:dyDescent="0.25">
      <c r="A603">
        <v>51</v>
      </c>
      <c r="B603" t="s">
        <v>10</v>
      </c>
      <c r="C603">
        <v>31.635000000000002</v>
      </c>
      <c r="D603">
        <v>0</v>
      </c>
      <c r="E603" t="s">
        <v>11</v>
      </c>
      <c r="F603" t="s">
        <v>13</v>
      </c>
      <c r="G603">
        <v>9174.1356500000002</v>
      </c>
      <c r="H603" t="str">
        <f t="shared" si="27"/>
        <v>50-59</v>
      </c>
      <c r="I603" t="str">
        <f t="shared" si="28"/>
        <v>Obese</v>
      </c>
      <c r="J603" t="str">
        <f t="shared" si="29"/>
        <v>No</v>
      </c>
    </row>
    <row r="604" spans="1:10" x14ac:dyDescent="0.25">
      <c r="A604">
        <v>56</v>
      </c>
      <c r="B604" t="s">
        <v>7</v>
      </c>
      <c r="C604">
        <v>25.3</v>
      </c>
      <c r="D604">
        <v>0</v>
      </c>
      <c r="E604" t="s">
        <v>11</v>
      </c>
      <c r="F604" t="s">
        <v>9</v>
      </c>
      <c r="G604">
        <v>11070.535</v>
      </c>
      <c r="H604" t="str">
        <f t="shared" si="27"/>
        <v>50-59</v>
      </c>
      <c r="I604" t="str">
        <f t="shared" si="28"/>
        <v>Overweight</v>
      </c>
      <c r="J604" t="str">
        <f t="shared" si="29"/>
        <v>No</v>
      </c>
    </row>
    <row r="605" spans="1:10" x14ac:dyDescent="0.25">
      <c r="A605">
        <v>64</v>
      </c>
      <c r="B605" t="s">
        <v>7</v>
      </c>
      <c r="C605">
        <v>39.049999999999997</v>
      </c>
      <c r="D605">
        <v>3</v>
      </c>
      <c r="E605" t="s">
        <v>11</v>
      </c>
      <c r="F605" t="s">
        <v>12</v>
      </c>
      <c r="G605">
        <v>16085.127500000001</v>
      </c>
      <c r="H605" t="str">
        <f t="shared" si="27"/>
        <v>60+</v>
      </c>
      <c r="I605" t="str">
        <f t="shared" si="28"/>
        <v>Obese</v>
      </c>
      <c r="J605" t="str">
        <f t="shared" si="29"/>
        <v>No</v>
      </c>
    </row>
    <row r="606" spans="1:10" x14ac:dyDescent="0.25">
      <c r="A606">
        <v>19</v>
      </c>
      <c r="B606" t="s">
        <v>7</v>
      </c>
      <c r="C606">
        <v>28.31</v>
      </c>
      <c r="D606">
        <v>0</v>
      </c>
      <c r="E606" t="s">
        <v>8</v>
      </c>
      <c r="F606" t="s">
        <v>13</v>
      </c>
      <c r="G606">
        <v>17468.983899999999</v>
      </c>
      <c r="H606" t="str">
        <f t="shared" si="27"/>
        <v>18-29</v>
      </c>
      <c r="I606" t="str">
        <f t="shared" si="28"/>
        <v>Overweight</v>
      </c>
      <c r="J606" t="str">
        <f t="shared" si="29"/>
        <v>No</v>
      </c>
    </row>
    <row r="607" spans="1:10" x14ac:dyDescent="0.25">
      <c r="A607">
        <v>51</v>
      </c>
      <c r="B607" t="s">
        <v>7</v>
      </c>
      <c r="C607">
        <v>34.1</v>
      </c>
      <c r="D607">
        <v>0</v>
      </c>
      <c r="E607" t="s">
        <v>11</v>
      </c>
      <c r="F607" t="s">
        <v>12</v>
      </c>
      <c r="G607">
        <v>9283.5619999999999</v>
      </c>
      <c r="H607" t="str">
        <f t="shared" si="27"/>
        <v>50-59</v>
      </c>
      <c r="I607" t="str">
        <f t="shared" si="28"/>
        <v>Obese</v>
      </c>
      <c r="J607" t="str">
        <f t="shared" si="29"/>
        <v>No</v>
      </c>
    </row>
    <row r="608" spans="1:10" x14ac:dyDescent="0.25">
      <c r="A608">
        <v>27</v>
      </c>
      <c r="B608" t="s">
        <v>7</v>
      </c>
      <c r="C608">
        <v>25.175000000000001</v>
      </c>
      <c r="D608">
        <v>0</v>
      </c>
      <c r="E608" t="s">
        <v>11</v>
      </c>
      <c r="F608" t="s">
        <v>14</v>
      </c>
      <c r="G608">
        <v>3558.6202499999999</v>
      </c>
      <c r="H608" t="str">
        <f t="shared" si="27"/>
        <v>18-29</v>
      </c>
      <c r="I608" t="str">
        <f t="shared" si="28"/>
        <v>Overweight</v>
      </c>
      <c r="J608" t="str">
        <f t="shared" si="29"/>
        <v>No</v>
      </c>
    </row>
    <row r="609" spans="1:10" x14ac:dyDescent="0.25">
      <c r="A609">
        <v>59</v>
      </c>
      <c r="B609" t="s">
        <v>7</v>
      </c>
      <c r="C609">
        <v>23.655000000000001</v>
      </c>
      <c r="D609">
        <v>0</v>
      </c>
      <c r="E609" t="s">
        <v>8</v>
      </c>
      <c r="F609" t="s">
        <v>13</v>
      </c>
      <c r="G609">
        <v>25678.778450000002</v>
      </c>
      <c r="H609" t="str">
        <f t="shared" si="27"/>
        <v>50-59</v>
      </c>
      <c r="I609" t="str">
        <f t="shared" si="28"/>
        <v>Normal</v>
      </c>
      <c r="J609" t="str">
        <f t="shared" si="29"/>
        <v>Yes</v>
      </c>
    </row>
    <row r="610" spans="1:10" x14ac:dyDescent="0.25">
      <c r="A610">
        <v>28</v>
      </c>
      <c r="B610" t="s">
        <v>10</v>
      </c>
      <c r="C610">
        <v>26.98</v>
      </c>
      <c r="D610">
        <v>2</v>
      </c>
      <c r="E610" t="s">
        <v>11</v>
      </c>
      <c r="F610" t="s">
        <v>14</v>
      </c>
      <c r="G610">
        <v>4435.0941999999995</v>
      </c>
      <c r="H610" t="str">
        <f t="shared" si="27"/>
        <v>18-29</v>
      </c>
      <c r="I610" t="str">
        <f t="shared" si="28"/>
        <v>Overweight</v>
      </c>
      <c r="J610" t="str">
        <f t="shared" si="29"/>
        <v>No</v>
      </c>
    </row>
    <row r="611" spans="1:10" x14ac:dyDescent="0.25">
      <c r="A611">
        <v>30</v>
      </c>
      <c r="B611" t="s">
        <v>10</v>
      </c>
      <c r="C611">
        <v>37.799999999999997</v>
      </c>
      <c r="D611">
        <v>2</v>
      </c>
      <c r="E611" t="s">
        <v>8</v>
      </c>
      <c r="F611" t="s">
        <v>9</v>
      </c>
      <c r="G611">
        <v>39241.442000000003</v>
      </c>
      <c r="H611" t="str">
        <f t="shared" si="27"/>
        <v>30-39</v>
      </c>
      <c r="I611" t="str">
        <f t="shared" si="28"/>
        <v>Obese</v>
      </c>
      <c r="J611" t="str">
        <f t="shared" si="29"/>
        <v>Yes</v>
      </c>
    </row>
    <row r="612" spans="1:10" x14ac:dyDescent="0.25">
      <c r="A612">
        <v>47</v>
      </c>
      <c r="B612" t="s">
        <v>7</v>
      </c>
      <c r="C612">
        <v>29.37</v>
      </c>
      <c r="D612">
        <v>1</v>
      </c>
      <c r="E612" t="s">
        <v>11</v>
      </c>
      <c r="F612" t="s">
        <v>12</v>
      </c>
      <c r="G612">
        <v>8547.6913000000004</v>
      </c>
      <c r="H612" t="str">
        <f t="shared" si="27"/>
        <v>40-49</v>
      </c>
      <c r="I612" t="str">
        <f t="shared" si="28"/>
        <v>Overweight</v>
      </c>
      <c r="J612" t="str">
        <f t="shared" si="29"/>
        <v>No</v>
      </c>
    </row>
    <row r="613" spans="1:10" x14ac:dyDescent="0.25">
      <c r="A613">
        <v>38</v>
      </c>
      <c r="B613" t="s">
        <v>7</v>
      </c>
      <c r="C613">
        <v>34.799999999999997</v>
      </c>
      <c r="D613">
        <v>2</v>
      </c>
      <c r="E613" t="s">
        <v>11</v>
      </c>
      <c r="F613" t="s">
        <v>9</v>
      </c>
      <c r="G613">
        <v>6571.5439999999999</v>
      </c>
      <c r="H613" t="str">
        <f t="shared" si="27"/>
        <v>30-39</v>
      </c>
      <c r="I613" t="str">
        <f t="shared" si="28"/>
        <v>Obese</v>
      </c>
      <c r="J613" t="str">
        <f t="shared" si="29"/>
        <v>No</v>
      </c>
    </row>
    <row r="614" spans="1:10" x14ac:dyDescent="0.25">
      <c r="A614">
        <v>18</v>
      </c>
      <c r="B614" t="s">
        <v>7</v>
      </c>
      <c r="C614">
        <v>33.155000000000001</v>
      </c>
      <c r="D614">
        <v>0</v>
      </c>
      <c r="E614" t="s">
        <v>11</v>
      </c>
      <c r="F614" t="s">
        <v>14</v>
      </c>
      <c r="G614">
        <v>2207.6974500000001</v>
      </c>
      <c r="H614" t="str">
        <f t="shared" si="27"/>
        <v>18-29</v>
      </c>
      <c r="I614" t="str">
        <f t="shared" si="28"/>
        <v>Obese</v>
      </c>
      <c r="J614" t="str">
        <f t="shared" si="29"/>
        <v>No</v>
      </c>
    </row>
    <row r="615" spans="1:10" x14ac:dyDescent="0.25">
      <c r="A615">
        <v>34</v>
      </c>
      <c r="B615" t="s">
        <v>7</v>
      </c>
      <c r="C615">
        <v>19</v>
      </c>
      <c r="D615">
        <v>3</v>
      </c>
      <c r="E615" t="s">
        <v>11</v>
      </c>
      <c r="F615" t="s">
        <v>14</v>
      </c>
      <c r="G615">
        <v>6753.0379999999996</v>
      </c>
      <c r="H615" t="str">
        <f t="shared" si="27"/>
        <v>30-39</v>
      </c>
      <c r="I615" t="str">
        <f t="shared" si="28"/>
        <v>Normal</v>
      </c>
      <c r="J615" t="str">
        <f t="shared" si="29"/>
        <v>No</v>
      </c>
    </row>
    <row r="616" spans="1:10" x14ac:dyDescent="0.25">
      <c r="A616">
        <v>20</v>
      </c>
      <c r="B616" t="s">
        <v>7</v>
      </c>
      <c r="C616">
        <v>33</v>
      </c>
      <c r="D616">
        <v>0</v>
      </c>
      <c r="E616" t="s">
        <v>11</v>
      </c>
      <c r="F616" t="s">
        <v>12</v>
      </c>
      <c r="G616">
        <v>1880.07</v>
      </c>
      <c r="H616" t="str">
        <f t="shared" si="27"/>
        <v>18-29</v>
      </c>
      <c r="I616" t="str">
        <f t="shared" si="28"/>
        <v>Obese</v>
      </c>
      <c r="J616" t="str">
        <f t="shared" si="29"/>
        <v>No</v>
      </c>
    </row>
    <row r="617" spans="1:10" x14ac:dyDescent="0.25">
      <c r="A617">
        <v>47</v>
      </c>
      <c r="B617" t="s">
        <v>7</v>
      </c>
      <c r="C617">
        <v>36.630000000000003</v>
      </c>
      <c r="D617">
        <v>1</v>
      </c>
      <c r="E617" t="s">
        <v>8</v>
      </c>
      <c r="F617" t="s">
        <v>12</v>
      </c>
      <c r="G617">
        <v>42969.852700000003</v>
      </c>
      <c r="H617" t="str">
        <f t="shared" si="27"/>
        <v>40-49</v>
      </c>
      <c r="I617" t="str">
        <f t="shared" si="28"/>
        <v>Obese</v>
      </c>
      <c r="J617" t="str">
        <f t="shared" si="29"/>
        <v>Yes</v>
      </c>
    </row>
    <row r="618" spans="1:10" x14ac:dyDescent="0.25">
      <c r="A618">
        <v>56</v>
      </c>
      <c r="B618" t="s">
        <v>7</v>
      </c>
      <c r="C618">
        <v>28.594999999999999</v>
      </c>
      <c r="D618">
        <v>0</v>
      </c>
      <c r="E618" t="s">
        <v>11</v>
      </c>
      <c r="F618" t="s">
        <v>14</v>
      </c>
      <c r="G618">
        <v>11658.11505</v>
      </c>
      <c r="H618" t="str">
        <f t="shared" si="27"/>
        <v>50-59</v>
      </c>
      <c r="I618" t="str">
        <f t="shared" si="28"/>
        <v>Overweight</v>
      </c>
      <c r="J618" t="str">
        <f t="shared" si="29"/>
        <v>No</v>
      </c>
    </row>
    <row r="619" spans="1:10" x14ac:dyDescent="0.25">
      <c r="A619">
        <v>49</v>
      </c>
      <c r="B619" t="s">
        <v>10</v>
      </c>
      <c r="C619">
        <v>25.6</v>
      </c>
      <c r="D619">
        <v>2</v>
      </c>
      <c r="E619" t="s">
        <v>8</v>
      </c>
      <c r="F619" t="s">
        <v>9</v>
      </c>
      <c r="G619">
        <v>23306.546999999999</v>
      </c>
      <c r="H619" t="str">
        <f t="shared" si="27"/>
        <v>40-49</v>
      </c>
      <c r="I619" t="str">
        <f t="shared" si="28"/>
        <v>Overweight</v>
      </c>
      <c r="J619" t="str">
        <f t="shared" si="29"/>
        <v>Yes</v>
      </c>
    </row>
    <row r="620" spans="1:10" x14ac:dyDescent="0.25">
      <c r="A620">
        <v>19</v>
      </c>
      <c r="B620" t="s">
        <v>7</v>
      </c>
      <c r="C620">
        <v>33.11</v>
      </c>
      <c r="D620">
        <v>0</v>
      </c>
      <c r="E620" t="s">
        <v>8</v>
      </c>
      <c r="F620" t="s">
        <v>12</v>
      </c>
      <c r="G620">
        <v>34439.855900000002</v>
      </c>
      <c r="H620" t="str">
        <f t="shared" si="27"/>
        <v>18-29</v>
      </c>
      <c r="I620" t="str">
        <f t="shared" si="28"/>
        <v>Obese</v>
      </c>
      <c r="J620" t="str">
        <f t="shared" si="29"/>
        <v>Yes</v>
      </c>
    </row>
    <row r="621" spans="1:10" x14ac:dyDescent="0.25">
      <c r="A621">
        <v>55</v>
      </c>
      <c r="B621" t="s">
        <v>7</v>
      </c>
      <c r="C621">
        <v>37.1</v>
      </c>
      <c r="D621">
        <v>0</v>
      </c>
      <c r="E621" t="s">
        <v>11</v>
      </c>
      <c r="F621" t="s">
        <v>9</v>
      </c>
      <c r="G621">
        <v>10713.644</v>
      </c>
      <c r="H621" t="str">
        <f t="shared" si="27"/>
        <v>50-59</v>
      </c>
      <c r="I621" t="str">
        <f t="shared" si="28"/>
        <v>Obese</v>
      </c>
      <c r="J621" t="str">
        <f t="shared" si="29"/>
        <v>No</v>
      </c>
    </row>
    <row r="622" spans="1:10" x14ac:dyDescent="0.25">
      <c r="A622">
        <v>30</v>
      </c>
      <c r="B622" t="s">
        <v>10</v>
      </c>
      <c r="C622">
        <v>31.4</v>
      </c>
      <c r="D622">
        <v>1</v>
      </c>
      <c r="E622" t="s">
        <v>11</v>
      </c>
      <c r="F622" t="s">
        <v>9</v>
      </c>
      <c r="G622">
        <v>3659.346</v>
      </c>
      <c r="H622" t="str">
        <f t="shared" si="27"/>
        <v>30-39</v>
      </c>
      <c r="I622" t="str">
        <f t="shared" si="28"/>
        <v>Obese</v>
      </c>
      <c r="J622" t="str">
        <f t="shared" si="29"/>
        <v>No</v>
      </c>
    </row>
    <row r="623" spans="1:10" x14ac:dyDescent="0.25">
      <c r="A623">
        <v>37</v>
      </c>
      <c r="B623" t="s">
        <v>10</v>
      </c>
      <c r="C623">
        <v>34.1</v>
      </c>
      <c r="D623">
        <v>4</v>
      </c>
      <c r="E623" t="s">
        <v>8</v>
      </c>
      <c r="F623" t="s">
        <v>9</v>
      </c>
      <c r="G623">
        <v>40182.245999999999</v>
      </c>
      <c r="H623" t="str">
        <f t="shared" si="27"/>
        <v>30-39</v>
      </c>
      <c r="I623" t="str">
        <f t="shared" si="28"/>
        <v>Obese</v>
      </c>
      <c r="J623" t="str">
        <f t="shared" si="29"/>
        <v>Yes</v>
      </c>
    </row>
    <row r="624" spans="1:10" x14ac:dyDescent="0.25">
      <c r="A624">
        <v>49</v>
      </c>
      <c r="B624" t="s">
        <v>7</v>
      </c>
      <c r="C624">
        <v>21.3</v>
      </c>
      <c r="D624">
        <v>1</v>
      </c>
      <c r="E624" t="s">
        <v>11</v>
      </c>
      <c r="F624" t="s">
        <v>9</v>
      </c>
      <c r="G624">
        <v>9182.17</v>
      </c>
      <c r="H624" t="str">
        <f t="shared" si="27"/>
        <v>40-49</v>
      </c>
      <c r="I624" t="str">
        <f t="shared" si="28"/>
        <v>Normal</v>
      </c>
      <c r="J624" t="str">
        <f t="shared" si="29"/>
        <v>No</v>
      </c>
    </row>
    <row r="625" spans="1:10" x14ac:dyDescent="0.25">
      <c r="A625">
        <v>18</v>
      </c>
      <c r="B625" t="s">
        <v>10</v>
      </c>
      <c r="C625">
        <v>33.534999999999997</v>
      </c>
      <c r="D625">
        <v>0</v>
      </c>
      <c r="E625" t="s">
        <v>8</v>
      </c>
      <c r="F625" t="s">
        <v>14</v>
      </c>
      <c r="G625">
        <v>34617.840649999998</v>
      </c>
      <c r="H625" t="str">
        <f t="shared" si="27"/>
        <v>18-29</v>
      </c>
      <c r="I625" t="str">
        <f t="shared" si="28"/>
        <v>Obese</v>
      </c>
      <c r="J625" t="str">
        <f t="shared" si="29"/>
        <v>Yes</v>
      </c>
    </row>
    <row r="626" spans="1:10" x14ac:dyDescent="0.25">
      <c r="A626">
        <v>59</v>
      </c>
      <c r="B626" t="s">
        <v>10</v>
      </c>
      <c r="C626">
        <v>28.785</v>
      </c>
      <c r="D626">
        <v>0</v>
      </c>
      <c r="E626" t="s">
        <v>11</v>
      </c>
      <c r="F626" t="s">
        <v>13</v>
      </c>
      <c r="G626">
        <v>12129.614149999999</v>
      </c>
      <c r="H626" t="str">
        <f t="shared" si="27"/>
        <v>50-59</v>
      </c>
      <c r="I626" t="str">
        <f t="shared" si="28"/>
        <v>Overweight</v>
      </c>
      <c r="J626" t="str">
        <f t="shared" si="29"/>
        <v>No</v>
      </c>
    </row>
    <row r="627" spans="1:10" x14ac:dyDescent="0.25">
      <c r="A627">
        <v>29</v>
      </c>
      <c r="B627" t="s">
        <v>7</v>
      </c>
      <c r="C627">
        <v>26.03</v>
      </c>
      <c r="D627">
        <v>0</v>
      </c>
      <c r="E627" t="s">
        <v>11</v>
      </c>
      <c r="F627" t="s">
        <v>13</v>
      </c>
      <c r="G627">
        <v>3736.4647</v>
      </c>
      <c r="H627" t="str">
        <f t="shared" si="27"/>
        <v>18-29</v>
      </c>
      <c r="I627" t="str">
        <f t="shared" si="28"/>
        <v>Overweight</v>
      </c>
      <c r="J627" t="str">
        <f t="shared" si="29"/>
        <v>No</v>
      </c>
    </row>
    <row r="628" spans="1:10" x14ac:dyDescent="0.25">
      <c r="A628">
        <v>36</v>
      </c>
      <c r="B628" t="s">
        <v>10</v>
      </c>
      <c r="C628">
        <v>28.88</v>
      </c>
      <c r="D628">
        <v>3</v>
      </c>
      <c r="E628" t="s">
        <v>11</v>
      </c>
      <c r="F628" t="s">
        <v>14</v>
      </c>
      <c r="G628">
        <v>6748.5911999999998</v>
      </c>
      <c r="H628" t="str">
        <f t="shared" si="27"/>
        <v>30-39</v>
      </c>
      <c r="I628" t="str">
        <f t="shared" si="28"/>
        <v>Overweight</v>
      </c>
      <c r="J628" t="str">
        <f t="shared" si="29"/>
        <v>No</v>
      </c>
    </row>
    <row r="629" spans="1:10" x14ac:dyDescent="0.25">
      <c r="A629">
        <v>33</v>
      </c>
      <c r="B629" t="s">
        <v>10</v>
      </c>
      <c r="C629">
        <v>42.46</v>
      </c>
      <c r="D629">
        <v>1</v>
      </c>
      <c r="E629" t="s">
        <v>11</v>
      </c>
      <c r="F629" t="s">
        <v>12</v>
      </c>
      <c r="G629">
        <v>11326.71487</v>
      </c>
      <c r="H629" t="str">
        <f t="shared" si="27"/>
        <v>30-39</v>
      </c>
      <c r="I629" t="str">
        <f t="shared" si="28"/>
        <v>Obese</v>
      </c>
      <c r="J629" t="str">
        <f t="shared" si="29"/>
        <v>No</v>
      </c>
    </row>
    <row r="630" spans="1:10" x14ac:dyDescent="0.25">
      <c r="A630">
        <v>58</v>
      </c>
      <c r="B630" t="s">
        <v>10</v>
      </c>
      <c r="C630">
        <v>38</v>
      </c>
      <c r="D630">
        <v>0</v>
      </c>
      <c r="E630" t="s">
        <v>11</v>
      </c>
      <c r="F630" t="s">
        <v>9</v>
      </c>
      <c r="G630">
        <v>11365.951999999999</v>
      </c>
      <c r="H630" t="str">
        <f t="shared" si="27"/>
        <v>50-59</v>
      </c>
      <c r="I630" t="str">
        <f t="shared" si="28"/>
        <v>Obese</v>
      </c>
      <c r="J630" t="str">
        <f t="shared" si="29"/>
        <v>No</v>
      </c>
    </row>
    <row r="631" spans="1:10" x14ac:dyDescent="0.25">
      <c r="A631">
        <v>44</v>
      </c>
      <c r="B631" t="s">
        <v>7</v>
      </c>
      <c r="C631">
        <v>38.950000000000003</v>
      </c>
      <c r="D631">
        <v>0</v>
      </c>
      <c r="E631" t="s">
        <v>8</v>
      </c>
      <c r="F631" t="s">
        <v>13</v>
      </c>
      <c r="G631">
        <v>42983.458500000001</v>
      </c>
      <c r="H631" t="str">
        <f t="shared" si="27"/>
        <v>40-49</v>
      </c>
      <c r="I631" t="str">
        <f t="shared" si="28"/>
        <v>Obese</v>
      </c>
      <c r="J631" t="str">
        <f t="shared" si="29"/>
        <v>Yes</v>
      </c>
    </row>
    <row r="632" spans="1:10" x14ac:dyDescent="0.25">
      <c r="A632">
        <v>53</v>
      </c>
      <c r="B632" t="s">
        <v>10</v>
      </c>
      <c r="C632">
        <v>36.1</v>
      </c>
      <c r="D632">
        <v>1</v>
      </c>
      <c r="E632" t="s">
        <v>11</v>
      </c>
      <c r="F632" t="s">
        <v>9</v>
      </c>
      <c r="G632">
        <v>10085.846</v>
      </c>
      <c r="H632" t="str">
        <f t="shared" si="27"/>
        <v>50-59</v>
      </c>
      <c r="I632" t="str">
        <f t="shared" si="28"/>
        <v>Obese</v>
      </c>
      <c r="J632" t="str">
        <f t="shared" si="29"/>
        <v>No</v>
      </c>
    </row>
    <row r="633" spans="1:10" x14ac:dyDescent="0.25">
      <c r="A633">
        <v>24</v>
      </c>
      <c r="B633" t="s">
        <v>10</v>
      </c>
      <c r="C633">
        <v>29.3</v>
      </c>
      <c r="D633">
        <v>0</v>
      </c>
      <c r="E633" t="s">
        <v>11</v>
      </c>
      <c r="F633" t="s">
        <v>9</v>
      </c>
      <c r="G633">
        <v>1977.8150000000001</v>
      </c>
      <c r="H633" t="str">
        <f t="shared" si="27"/>
        <v>18-29</v>
      </c>
      <c r="I633" t="str">
        <f t="shared" si="28"/>
        <v>Overweight</v>
      </c>
      <c r="J633" t="str">
        <f t="shared" si="29"/>
        <v>No</v>
      </c>
    </row>
    <row r="634" spans="1:10" x14ac:dyDescent="0.25">
      <c r="A634">
        <v>29</v>
      </c>
      <c r="B634" t="s">
        <v>7</v>
      </c>
      <c r="C634">
        <v>35.53</v>
      </c>
      <c r="D634">
        <v>0</v>
      </c>
      <c r="E634" t="s">
        <v>11</v>
      </c>
      <c r="F634" t="s">
        <v>12</v>
      </c>
      <c r="G634">
        <v>3366.6696999999999</v>
      </c>
      <c r="H634" t="str">
        <f t="shared" si="27"/>
        <v>18-29</v>
      </c>
      <c r="I634" t="str">
        <f t="shared" si="28"/>
        <v>Obese</v>
      </c>
      <c r="J634" t="str">
        <f t="shared" si="29"/>
        <v>No</v>
      </c>
    </row>
    <row r="635" spans="1:10" x14ac:dyDescent="0.25">
      <c r="A635">
        <v>40</v>
      </c>
      <c r="B635" t="s">
        <v>10</v>
      </c>
      <c r="C635">
        <v>22.704999999999998</v>
      </c>
      <c r="D635">
        <v>2</v>
      </c>
      <c r="E635" t="s">
        <v>11</v>
      </c>
      <c r="F635" t="s">
        <v>14</v>
      </c>
      <c r="G635">
        <v>7173.35995</v>
      </c>
      <c r="H635" t="str">
        <f t="shared" si="27"/>
        <v>40-49</v>
      </c>
      <c r="I635" t="str">
        <f t="shared" si="28"/>
        <v>Normal</v>
      </c>
      <c r="J635" t="str">
        <f t="shared" si="29"/>
        <v>No</v>
      </c>
    </row>
    <row r="636" spans="1:10" x14ac:dyDescent="0.25">
      <c r="A636">
        <v>51</v>
      </c>
      <c r="B636" t="s">
        <v>10</v>
      </c>
      <c r="C636">
        <v>39.700000000000003</v>
      </c>
      <c r="D636">
        <v>1</v>
      </c>
      <c r="E636" t="s">
        <v>11</v>
      </c>
      <c r="F636" t="s">
        <v>9</v>
      </c>
      <c r="G636">
        <v>9391.3459999999995</v>
      </c>
      <c r="H636" t="str">
        <f t="shared" si="27"/>
        <v>50-59</v>
      </c>
      <c r="I636" t="str">
        <f t="shared" si="28"/>
        <v>Obese</v>
      </c>
      <c r="J636" t="str">
        <f t="shared" si="29"/>
        <v>No</v>
      </c>
    </row>
    <row r="637" spans="1:10" x14ac:dyDescent="0.25">
      <c r="A637">
        <v>64</v>
      </c>
      <c r="B637" t="s">
        <v>10</v>
      </c>
      <c r="C637">
        <v>38.19</v>
      </c>
      <c r="D637">
        <v>0</v>
      </c>
      <c r="E637" t="s">
        <v>11</v>
      </c>
      <c r="F637" t="s">
        <v>14</v>
      </c>
      <c r="G637">
        <v>14410.9321</v>
      </c>
      <c r="H637" t="str">
        <f t="shared" si="27"/>
        <v>60+</v>
      </c>
      <c r="I637" t="str">
        <f t="shared" si="28"/>
        <v>Obese</v>
      </c>
      <c r="J637" t="str">
        <f t="shared" si="29"/>
        <v>No</v>
      </c>
    </row>
    <row r="638" spans="1:10" x14ac:dyDescent="0.25">
      <c r="A638">
        <v>19</v>
      </c>
      <c r="B638" t="s">
        <v>7</v>
      </c>
      <c r="C638">
        <v>24.51</v>
      </c>
      <c r="D638">
        <v>1</v>
      </c>
      <c r="E638" t="s">
        <v>11</v>
      </c>
      <c r="F638" t="s">
        <v>13</v>
      </c>
      <c r="G638">
        <v>2709.1118999999999</v>
      </c>
      <c r="H638" t="str">
        <f t="shared" si="27"/>
        <v>18-29</v>
      </c>
      <c r="I638" t="str">
        <f t="shared" si="28"/>
        <v>Normal</v>
      </c>
      <c r="J638" t="str">
        <f t="shared" si="29"/>
        <v>No</v>
      </c>
    </row>
    <row r="639" spans="1:10" x14ac:dyDescent="0.25">
      <c r="A639">
        <v>35</v>
      </c>
      <c r="B639" t="s">
        <v>7</v>
      </c>
      <c r="C639">
        <v>38.094999999999999</v>
      </c>
      <c r="D639">
        <v>2</v>
      </c>
      <c r="E639" t="s">
        <v>11</v>
      </c>
      <c r="F639" t="s">
        <v>14</v>
      </c>
      <c r="G639">
        <v>24915.046259999999</v>
      </c>
      <c r="H639" t="str">
        <f t="shared" si="27"/>
        <v>30-39</v>
      </c>
      <c r="I639" t="str">
        <f t="shared" si="28"/>
        <v>Obese</v>
      </c>
      <c r="J639" t="str">
        <f t="shared" si="29"/>
        <v>Yes</v>
      </c>
    </row>
    <row r="640" spans="1:10" x14ac:dyDescent="0.25">
      <c r="A640">
        <v>39</v>
      </c>
      <c r="B640" t="s">
        <v>10</v>
      </c>
      <c r="C640">
        <v>26.41</v>
      </c>
      <c r="D640">
        <v>0</v>
      </c>
      <c r="E640" t="s">
        <v>8</v>
      </c>
      <c r="F640" t="s">
        <v>14</v>
      </c>
      <c r="G640">
        <v>20149.322899999999</v>
      </c>
      <c r="H640" t="str">
        <f t="shared" si="27"/>
        <v>30-39</v>
      </c>
      <c r="I640" t="str">
        <f t="shared" si="28"/>
        <v>Overweight</v>
      </c>
      <c r="J640" t="str">
        <f t="shared" si="29"/>
        <v>Yes</v>
      </c>
    </row>
    <row r="641" spans="1:10" x14ac:dyDescent="0.25">
      <c r="A641">
        <v>56</v>
      </c>
      <c r="B641" t="s">
        <v>10</v>
      </c>
      <c r="C641">
        <v>33.659999999999997</v>
      </c>
      <c r="D641">
        <v>4</v>
      </c>
      <c r="E641" t="s">
        <v>11</v>
      </c>
      <c r="F641" t="s">
        <v>12</v>
      </c>
      <c r="G641">
        <v>12949.1554</v>
      </c>
      <c r="H641" t="str">
        <f t="shared" si="27"/>
        <v>50-59</v>
      </c>
      <c r="I641" t="str">
        <f t="shared" si="28"/>
        <v>Obese</v>
      </c>
      <c r="J641" t="str">
        <f t="shared" si="29"/>
        <v>No</v>
      </c>
    </row>
    <row r="642" spans="1:10" x14ac:dyDescent="0.25">
      <c r="A642">
        <v>33</v>
      </c>
      <c r="B642" t="s">
        <v>10</v>
      </c>
      <c r="C642">
        <v>42.4</v>
      </c>
      <c r="D642">
        <v>5</v>
      </c>
      <c r="E642" t="s">
        <v>11</v>
      </c>
      <c r="F642" t="s">
        <v>9</v>
      </c>
      <c r="G642">
        <v>6666.2430000000004</v>
      </c>
      <c r="H642" t="str">
        <f t="shared" ref="H642:H705" si="30">IF(A642&lt;30, "18-29", IF(A642&lt;40, "30-39", IF(A642&lt;50, "40-49", IF(A642&lt;60, "50-59", "60+"))))</f>
        <v>30-39</v>
      </c>
      <c r="I642" t="str">
        <f t="shared" ref="I642:I705" si="31">IF(C642&lt;18.5, "Underweight", IF(C642&lt;25, "Normal", IF(C642&lt;30,"Overweight","Obese")))</f>
        <v>Obese</v>
      </c>
      <c r="J642" t="str">
        <f t="shared" ref="J642:J705" si="32">IF(G642&gt;20000,"Yes","No")</f>
        <v>No</v>
      </c>
    </row>
    <row r="643" spans="1:10" x14ac:dyDescent="0.25">
      <c r="A643">
        <v>42</v>
      </c>
      <c r="B643" t="s">
        <v>10</v>
      </c>
      <c r="C643">
        <v>28.31</v>
      </c>
      <c r="D643">
        <v>3</v>
      </c>
      <c r="E643" t="s">
        <v>8</v>
      </c>
      <c r="F643" t="s">
        <v>13</v>
      </c>
      <c r="G643">
        <v>32787.458590000002</v>
      </c>
      <c r="H643" t="str">
        <f t="shared" si="30"/>
        <v>40-49</v>
      </c>
      <c r="I643" t="str">
        <f t="shared" si="31"/>
        <v>Overweight</v>
      </c>
      <c r="J643" t="str">
        <f t="shared" si="32"/>
        <v>Yes</v>
      </c>
    </row>
    <row r="644" spans="1:10" x14ac:dyDescent="0.25">
      <c r="A644">
        <v>61</v>
      </c>
      <c r="B644" t="s">
        <v>10</v>
      </c>
      <c r="C644">
        <v>33.914999999999999</v>
      </c>
      <c r="D644">
        <v>0</v>
      </c>
      <c r="E644" t="s">
        <v>11</v>
      </c>
      <c r="F644" t="s">
        <v>14</v>
      </c>
      <c r="G644">
        <v>13143.86485</v>
      </c>
      <c r="H644" t="str">
        <f t="shared" si="30"/>
        <v>60+</v>
      </c>
      <c r="I644" t="str">
        <f t="shared" si="31"/>
        <v>Obese</v>
      </c>
      <c r="J644" t="str">
        <f t="shared" si="32"/>
        <v>No</v>
      </c>
    </row>
    <row r="645" spans="1:10" x14ac:dyDescent="0.25">
      <c r="A645">
        <v>23</v>
      </c>
      <c r="B645" t="s">
        <v>7</v>
      </c>
      <c r="C645">
        <v>34.96</v>
      </c>
      <c r="D645">
        <v>3</v>
      </c>
      <c r="E645" t="s">
        <v>11</v>
      </c>
      <c r="F645" t="s">
        <v>13</v>
      </c>
      <c r="G645">
        <v>4466.6214</v>
      </c>
      <c r="H645" t="str">
        <f t="shared" si="30"/>
        <v>18-29</v>
      </c>
      <c r="I645" t="str">
        <f t="shared" si="31"/>
        <v>Obese</v>
      </c>
      <c r="J645" t="str">
        <f t="shared" si="32"/>
        <v>No</v>
      </c>
    </row>
    <row r="646" spans="1:10" x14ac:dyDescent="0.25">
      <c r="A646">
        <v>43</v>
      </c>
      <c r="B646" t="s">
        <v>10</v>
      </c>
      <c r="C646">
        <v>35.31</v>
      </c>
      <c r="D646">
        <v>2</v>
      </c>
      <c r="E646" t="s">
        <v>11</v>
      </c>
      <c r="F646" t="s">
        <v>12</v>
      </c>
      <c r="G646">
        <v>18806.145469999999</v>
      </c>
      <c r="H646" t="str">
        <f t="shared" si="30"/>
        <v>40-49</v>
      </c>
      <c r="I646" t="str">
        <f t="shared" si="31"/>
        <v>Obese</v>
      </c>
      <c r="J646" t="str">
        <f t="shared" si="32"/>
        <v>No</v>
      </c>
    </row>
    <row r="647" spans="1:10" x14ac:dyDescent="0.25">
      <c r="A647">
        <v>48</v>
      </c>
      <c r="B647" t="s">
        <v>10</v>
      </c>
      <c r="C647">
        <v>30.78</v>
      </c>
      <c r="D647">
        <v>3</v>
      </c>
      <c r="E647" t="s">
        <v>11</v>
      </c>
      <c r="F647" t="s">
        <v>14</v>
      </c>
      <c r="G647">
        <v>10141.136200000001</v>
      </c>
      <c r="H647" t="str">
        <f t="shared" si="30"/>
        <v>40-49</v>
      </c>
      <c r="I647" t="str">
        <f t="shared" si="31"/>
        <v>Obese</v>
      </c>
      <c r="J647" t="str">
        <f t="shared" si="32"/>
        <v>No</v>
      </c>
    </row>
    <row r="648" spans="1:10" x14ac:dyDescent="0.25">
      <c r="A648">
        <v>39</v>
      </c>
      <c r="B648" t="s">
        <v>10</v>
      </c>
      <c r="C648">
        <v>26.22</v>
      </c>
      <c r="D648">
        <v>1</v>
      </c>
      <c r="E648" t="s">
        <v>11</v>
      </c>
      <c r="F648" t="s">
        <v>13</v>
      </c>
      <c r="G648">
        <v>6123.5688</v>
      </c>
      <c r="H648" t="str">
        <f t="shared" si="30"/>
        <v>30-39</v>
      </c>
      <c r="I648" t="str">
        <f t="shared" si="31"/>
        <v>Overweight</v>
      </c>
      <c r="J648" t="str">
        <f t="shared" si="32"/>
        <v>No</v>
      </c>
    </row>
    <row r="649" spans="1:10" x14ac:dyDescent="0.25">
      <c r="A649">
        <v>40</v>
      </c>
      <c r="B649" t="s">
        <v>7</v>
      </c>
      <c r="C649">
        <v>23.37</v>
      </c>
      <c r="D649">
        <v>3</v>
      </c>
      <c r="E649" t="s">
        <v>11</v>
      </c>
      <c r="F649" t="s">
        <v>14</v>
      </c>
      <c r="G649">
        <v>8252.2842999999993</v>
      </c>
      <c r="H649" t="str">
        <f t="shared" si="30"/>
        <v>40-49</v>
      </c>
      <c r="I649" t="str">
        <f t="shared" si="31"/>
        <v>Normal</v>
      </c>
      <c r="J649" t="str">
        <f t="shared" si="32"/>
        <v>No</v>
      </c>
    </row>
    <row r="650" spans="1:10" x14ac:dyDescent="0.25">
      <c r="A650">
        <v>18</v>
      </c>
      <c r="B650" t="s">
        <v>10</v>
      </c>
      <c r="C650">
        <v>28.5</v>
      </c>
      <c r="D650">
        <v>0</v>
      </c>
      <c r="E650" t="s">
        <v>11</v>
      </c>
      <c r="F650" t="s">
        <v>14</v>
      </c>
      <c r="G650">
        <v>1712.2270000000001</v>
      </c>
      <c r="H650" t="str">
        <f t="shared" si="30"/>
        <v>18-29</v>
      </c>
      <c r="I650" t="str">
        <f t="shared" si="31"/>
        <v>Overweight</v>
      </c>
      <c r="J650" t="str">
        <f t="shared" si="32"/>
        <v>No</v>
      </c>
    </row>
    <row r="651" spans="1:10" x14ac:dyDescent="0.25">
      <c r="A651">
        <v>58</v>
      </c>
      <c r="B651" t="s">
        <v>7</v>
      </c>
      <c r="C651">
        <v>32.965000000000003</v>
      </c>
      <c r="D651">
        <v>0</v>
      </c>
      <c r="E651" t="s">
        <v>11</v>
      </c>
      <c r="F651" t="s">
        <v>14</v>
      </c>
      <c r="G651">
        <v>12430.95335</v>
      </c>
      <c r="H651" t="str">
        <f t="shared" si="30"/>
        <v>50-59</v>
      </c>
      <c r="I651" t="str">
        <f t="shared" si="31"/>
        <v>Obese</v>
      </c>
      <c r="J651" t="str">
        <f t="shared" si="32"/>
        <v>No</v>
      </c>
    </row>
    <row r="652" spans="1:10" x14ac:dyDescent="0.25">
      <c r="A652">
        <v>49</v>
      </c>
      <c r="B652" t="s">
        <v>7</v>
      </c>
      <c r="C652">
        <v>42.68</v>
      </c>
      <c r="D652">
        <v>2</v>
      </c>
      <c r="E652" t="s">
        <v>11</v>
      </c>
      <c r="F652" t="s">
        <v>12</v>
      </c>
      <c r="G652">
        <v>9800.8881999999994</v>
      </c>
      <c r="H652" t="str">
        <f t="shared" si="30"/>
        <v>40-49</v>
      </c>
      <c r="I652" t="str">
        <f t="shared" si="31"/>
        <v>Obese</v>
      </c>
      <c r="J652" t="str">
        <f t="shared" si="32"/>
        <v>No</v>
      </c>
    </row>
    <row r="653" spans="1:10" x14ac:dyDescent="0.25">
      <c r="A653">
        <v>53</v>
      </c>
      <c r="B653" t="s">
        <v>7</v>
      </c>
      <c r="C653">
        <v>39.6</v>
      </c>
      <c r="D653">
        <v>1</v>
      </c>
      <c r="E653" t="s">
        <v>11</v>
      </c>
      <c r="F653" t="s">
        <v>12</v>
      </c>
      <c r="G653">
        <v>10579.710999999999</v>
      </c>
      <c r="H653" t="str">
        <f t="shared" si="30"/>
        <v>50-59</v>
      </c>
      <c r="I653" t="str">
        <f t="shared" si="31"/>
        <v>Obese</v>
      </c>
      <c r="J653" t="str">
        <f t="shared" si="32"/>
        <v>No</v>
      </c>
    </row>
    <row r="654" spans="1:10" x14ac:dyDescent="0.25">
      <c r="A654">
        <v>48</v>
      </c>
      <c r="B654" t="s">
        <v>7</v>
      </c>
      <c r="C654">
        <v>31.13</v>
      </c>
      <c r="D654">
        <v>0</v>
      </c>
      <c r="E654" t="s">
        <v>11</v>
      </c>
      <c r="F654" t="s">
        <v>12</v>
      </c>
      <c r="G654">
        <v>8280.6226999999999</v>
      </c>
      <c r="H654" t="str">
        <f t="shared" si="30"/>
        <v>40-49</v>
      </c>
      <c r="I654" t="str">
        <f t="shared" si="31"/>
        <v>Obese</v>
      </c>
      <c r="J654" t="str">
        <f t="shared" si="32"/>
        <v>No</v>
      </c>
    </row>
    <row r="655" spans="1:10" x14ac:dyDescent="0.25">
      <c r="A655">
        <v>45</v>
      </c>
      <c r="B655" t="s">
        <v>7</v>
      </c>
      <c r="C655">
        <v>36.299999999999997</v>
      </c>
      <c r="D655">
        <v>2</v>
      </c>
      <c r="E655" t="s">
        <v>11</v>
      </c>
      <c r="F655" t="s">
        <v>12</v>
      </c>
      <c r="G655">
        <v>8527.5319999999992</v>
      </c>
      <c r="H655" t="str">
        <f t="shared" si="30"/>
        <v>40-49</v>
      </c>
      <c r="I655" t="str">
        <f t="shared" si="31"/>
        <v>Obese</v>
      </c>
      <c r="J655" t="str">
        <f t="shared" si="32"/>
        <v>No</v>
      </c>
    </row>
    <row r="656" spans="1:10" x14ac:dyDescent="0.25">
      <c r="A656">
        <v>59</v>
      </c>
      <c r="B656" t="s">
        <v>7</v>
      </c>
      <c r="C656">
        <v>35.200000000000003</v>
      </c>
      <c r="D656">
        <v>0</v>
      </c>
      <c r="E656" t="s">
        <v>11</v>
      </c>
      <c r="F656" t="s">
        <v>12</v>
      </c>
      <c r="G656">
        <v>12244.531000000001</v>
      </c>
      <c r="H656" t="str">
        <f t="shared" si="30"/>
        <v>50-59</v>
      </c>
      <c r="I656" t="str">
        <f t="shared" si="31"/>
        <v>Obese</v>
      </c>
      <c r="J656" t="str">
        <f t="shared" si="32"/>
        <v>No</v>
      </c>
    </row>
    <row r="657" spans="1:10" x14ac:dyDescent="0.25">
      <c r="A657">
        <v>52</v>
      </c>
      <c r="B657" t="s">
        <v>7</v>
      </c>
      <c r="C657">
        <v>25.3</v>
      </c>
      <c r="D657">
        <v>2</v>
      </c>
      <c r="E657" t="s">
        <v>8</v>
      </c>
      <c r="F657" t="s">
        <v>12</v>
      </c>
      <c r="G657">
        <v>24667.419000000002</v>
      </c>
      <c r="H657" t="str">
        <f t="shared" si="30"/>
        <v>50-59</v>
      </c>
      <c r="I657" t="str">
        <f t="shared" si="31"/>
        <v>Overweight</v>
      </c>
      <c r="J657" t="str">
        <f t="shared" si="32"/>
        <v>Yes</v>
      </c>
    </row>
    <row r="658" spans="1:10" x14ac:dyDescent="0.25">
      <c r="A658">
        <v>26</v>
      </c>
      <c r="B658" t="s">
        <v>7</v>
      </c>
      <c r="C658">
        <v>42.4</v>
      </c>
      <c r="D658">
        <v>1</v>
      </c>
      <c r="E658" t="s">
        <v>11</v>
      </c>
      <c r="F658" t="s">
        <v>9</v>
      </c>
      <c r="G658">
        <v>3410.3240000000001</v>
      </c>
      <c r="H658" t="str">
        <f t="shared" si="30"/>
        <v>18-29</v>
      </c>
      <c r="I658" t="str">
        <f t="shared" si="31"/>
        <v>Obese</v>
      </c>
      <c r="J658" t="str">
        <f t="shared" si="32"/>
        <v>No</v>
      </c>
    </row>
    <row r="659" spans="1:10" x14ac:dyDescent="0.25">
      <c r="A659">
        <v>27</v>
      </c>
      <c r="B659" t="s">
        <v>10</v>
      </c>
      <c r="C659">
        <v>33.155000000000001</v>
      </c>
      <c r="D659">
        <v>2</v>
      </c>
      <c r="E659" t="s">
        <v>11</v>
      </c>
      <c r="F659" t="s">
        <v>13</v>
      </c>
      <c r="G659">
        <v>4058.71245</v>
      </c>
      <c r="H659" t="str">
        <f t="shared" si="30"/>
        <v>18-29</v>
      </c>
      <c r="I659" t="str">
        <f t="shared" si="31"/>
        <v>Obese</v>
      </c>
      <c r="J659" t="str">
        <f t="shared" si="32"/>
        <v>No</v>
      </c>
    </row>
    <row r="660" spans="1:10" x14ac:dyDescent="0.25">
      <c r="A660">
        <v>48</v>
      </c>
      <c r="B660" t="s">
        <v>7</v>
      </c>
      <c r="C660">
        <v>35.909999999999997</v>
      </c>
      <c r="D660">
        <v>1</v>
      </c>
      <c r="E660" t="s">
        <v>11</v>
      </c>
      <c r="F660" t="s">
        <v>14</v>
      </c>
      <c r="G660">
        <v>26392.260289999998</v>
      </c>
      <c r="H660" t="str">
        <f t="shared" si="30"/>
        <v>40-49</v>
      </c>
      <c r="I660" t="str">
        <f t="shared" si="31"/>
        <v>Obese</v>
      </c>
      <c r="J660" t="str">
        <f t="shared" si="32"/>
        <v>Yes</v>
      </c>
    </row>
    <row r="661" spans="1:10" x14ac:dyDescent="0.25">
      <c r="A661">
        <v>57</v>
      </c>
      <c r="B661" t="s">
        <v>7</v>
      </c>
      <c r="C661">
        <v>28.785</v>
      </c>
      <c r="D661">
        <v>4</v>
      </c>
      <c r="E661" t="s">
        <v>11</v>
      </c>
      <c r="F661" t="s">
        <v>14</v>
      </c>
      <c r="G661">
        <v>14394.398150000001</v>
      </c>
      <c r="H661" t="str">
        <f t="shared" si="30"/>
        <v>50-59</v>
      </c>
      <c r="I661" t="str">
        <f t="shared" si="31"/>
        <v>Overweight</v>
      </c>
      <c r="J661" t="str">
        <f t="shared" si="32"/>
        <v>No</v>
      </c>
    </row>
    <row r="662" spans="1:10" x14ac:dyDescent="0.25">
      <c r="A662">
        <v>37</v>
      </c>
      <c r="B662" t="s">
        <v>10</v>
      </c>
      <c r="C662">
        <v>46.53</v>
      </c>
      <c r="D662">
        <v>3</v>
      </c>
      <c r="E662" t="s">
        <v>11</v>
      </c>
      <c r="F662" t="s">
        <v>12</v>
      </c>
      <c r="G662">
        <v>6435.6237000000001</v>
      </c>
      <c r="H662" t="str">
        <f t="shared" si="30"/>
        <v>30-39</v>
      </c>
      <c r="I662" t="str">
        <f t="shared" si="31"/>
        <v>Obese</v>
      </c>
      <c r="J662" t="str">
        <f t="shared" si="32"/>
        <v>No</v>
      </c>
    </row>
    <row r="663" spans="1:10" x14ac:dyDescent="0.25">
      <c r="A663">
        <v>57</v>
      </c>
      <c r="B663" t="s">
        <v>7</v>
      </c>
      <c r="C663">
        <v>23.98</v>
      </c>
      <c r="D663">
        <v>1</v>
      </c>
      <c r="E663" t="s">
        <v>11</v>
      </c>
      <c r="F663" t="s">
        <v>12</v>
      </c>
      <c r="G663">
        <v>22192.437109999999</v>
      </c>
      <c r="H663" t="str">
        <f t="shared" si="30"/>
        <v>50-59</v>
      </c>
      <c r="I663" t="str">
        <f t="shared" si="31"/>
        <v>Normal</v>
      </c>
      <c r="J663" t="str">
        <f t="shared" si="32"/>
        <v>Yes</v>
      </c>
    </row>
    <row r="664" spans="1:10" x14ac:dyDescent="0.25">
      <c r="A664">
        <v>32</v>
      </c>
      <c r="B664" t="s">
        <v>7</v>
      </c>
      <c r="C664">
        <v>31.54</v>
      </c>
      <c r="D664">
        <v>1</v>
      </c>
      <c r="E664" t="s">
        <v>11</v>
      </c>
      <c r="F664" t="s">
        <v>14</v>
      </c>
      <c r="G664">
        <v>5148.5526</v>
      </c>
      <c r="H664" t="str">
        <f t="shared" si="30"/>
        <v>30-39</v>
      </c>
      <c r="I664" t="str">
        <f t="shared" si="31"/>
        <v>Obese</v>
      </c>
      <c r="J664" t="str">
        <f t="shared" si="32"/>
        <v>No</v>
      </c>
    </row>
    <row r="665" spans="1:10" x14ac:dyDescent="0.25">
      <c r="A665">
        <v>18</v>
      </c>
      <c r="B665" t="s">
        <v>10</v>
      </c>
      <c r="C665">
        <v>33.659999999999997</v>
      </c>
      <c r="D665">
        <v>0</v>
      </c>
      <c r="E665" t="s">
        <v>11</v>
      </c>
      <c r="F665" t="s">
        <v>12</v>
      </c>
      <c r="G665">
        <v>1136.3994</v>
      </c>
      <c r="H665" t="str">
        <f t="shared" si="30"/>
        <v>18-29</v>
      </c>
      <c r="I665" t="str">
        <f t="shared" si="31"/>
        <v>Obese</v>
      </c>
      <c r="J665" t="str">
        <f t="shared" si="32"/>
        <v>No</v>
      </c>
    </row>
    <row r="666" spans="1:10" x14ac:dyDescent="0.25">
      <c r="A666">
        <v>64</v>
      </c>
      <c r="B666" t="s">
        <v>7</v>
      </c>
      <c r="C666">
        <v>22.99</v>
      </c>
      <c r="D666">
        <v>0</v>
      </c>
      <c r="E666" t="s">
        <v>8</v>
      </c>
      <c r="F666" t="s">
        <v>12</v>
      </c>
      <c r="G666">
        <v>27037.914100000002</v>
      </c>
      <c r="H666" t="str">
        <f t="shared" si="30"/>
        <v>60+</v>
      </c>
      <c r="I666" t="str">
        <f t="shared" si="31"/>
        <v>Normal</v>
      </c>
      <c r="J666" t="str">
        <f t="shared" si="32"/>
        <v>Yes</v>
      </c>
    </row>
    <row r="667" spans="1:10" x14ac:dyDescent="0.25">
      <c r="A667">
        <v>43</v>
      </c>
      <c r="B667" t="s">
        <v>10</v>
      </c>
      <c r="C667">
        <v>38.06</v>
      </c>
      <c r="D667">
        <v>2</v>
      </c>
      <c r="E667" t="s">
        <v>8</v>
      </c>
      <c r="F667" t="s">
        <v>12</v>
      </c>
      <c r="G667">
        <v>42560.430399999997</v>
      </c>
      <c r="H667" t="str">
        <f t="shared" si="30"/>
        <v>40-49</v>
      </c>
      <c r="I667" t="str">
        <f t="shared" si="31"/>
        <v>Obese</v>
      </c>
      <c r="J667" t="str">
        <f t="shared" si="32"/>
        <v>Yes</v>
      </c>
    </row>
    <row r="668" spans="1:10" x14ac:dyDescent="0.25">
      <c r="A668">
        <v>49</v>
      </c>
      <c r="B668" t="s">
        <v>10</v>
      </c>
      <c r="C668">
        <v>28.7</v>
      </c>
      <c r="D668">
        <v>1</v>
      </c>
      <c r="E668" t="s">
        <v>11</v>
      </c>
      <c r="F668" t="s">
        <v>9</v>
      </c>
      <c r="G668">
        <v>8703.4560000000001</v>
      </c>
      <c r="H668" t="str">
        <f t="shared" si="30"/>
        <v>40-49</v>
      </c>
      <c r="I668" t="str">
        <f t="shared" si="31"/>
        <v>Overweight</v>
      </c>
      <c r="J668" t="str">
        <f t="shared" si="32"/>
        <v>No</v>
      </c>
    </row>
    <row r="669" spans="1:10" x14ac:dyDescent="0.25">
      <c r="A669">
        <v>40</v>
      </c>
      <c r="B669" t="s">
        <v>7</v>
      </c>
      <c r="C669">
        <v>32.774999999999999</v>
      </c>
      <c r="D669">
        <v>2</v>
      </c>
      <c r="E669" t="s">
        <v>8</v>
      </c>
      <c r="F669" t="s">
        <v>13</v>
      </c>
      <c r="G669">
        <v>40003.332249999999</v>
      </c>
      <c r="H669" t="str">
        <f t="shared" si="30"/>
        <v>40-49</v>
      </c>
      <c r="I669" t="str">
        <f t="shared" si="31"/>
        <v>Obese</v>
      </c>
      <c r="J669" t="str">
        <f t="shared" si="32"/>
        <v>Yes</v>
      </c>
    </row>
    <row r="670" spans="1:10" x14ac:dyDescent="0.25">
      <c r="A670">
        <v>62</v>
      </c>
      <c r="B670" t="s">
        <v>10</v>
      </c>
      <c r="C670">
        <v>32.015000000000001</v>
      </c>
      <c r="D670">
        <v>0</v>
      </c>
      <c r="E670" t="s">
        <v>8</v>
      </c>
      <c r="F670" t="s">
        <v>14</v>
      </c>
      <c r="G670">
        <v>45710.207849999999</v>
      </c>
      <c r="H670" t="str">
        <f t="shared" si="30"/>
        <v>60+</v>
      </c>
      <c r="I670" t="str">
        <f t="shared" si="31"/>
        <v>Obese</v>
      </c>
      <c r="J670" t="str">
        <f t="shared" si="32"/>
        <v>Yes</v>
      </c>
    </row>
    <row r="671" spans="1:10" x14ac:dyDescent="0.25">
      <c r="A671">
        <v>40</v>
      </c>
      <c r="B671" t="s">
        <v>7</v>
      </c>
      <c r="C671">
        <v>29.81</v>
      </c>
      <c r="D671">
        <v>1</v>
      </c>
      <c r="E671" t="s">
        <v>11</v>
      </c>
      <c r="F671" t="s">
        <v>12</v>
      </c>
      <c r="G671">
        <v>6500.2358999999997</v>
      </c>
      <c r="H671" t="str">
        <f t="shared" si="30"/>
        <v>40-49</v>
      </c>
      <c r="I671" t="str">
        <f t="shared" si="31"/>
        <v>Overweight</v>
      </c>
      <c r="J671" t="str">
        <f t="shared" si="32"/>
        <v>No</v>
      </c>
    </row>
    <row r="672" spans="1:10" x14ac:dyDescent="0.25">
      <c r="A672">
        <v>30</v>
      </c>
      <c r="B672" t="s">
        <v>10</v>
      </c>
      <c r="C672">
        <v>31.57</v>
      </c>
      <c r="D672">
        <v>3</v>
      </c>
      <c r="E672" t="s">
        <v>11</v>
      </c>
      <c r="F672" t="s">
        <v>12</v>
      </c>
      <c r="G672">
        <v>4837.5823</v>
      </c>
      <c r="H672" t="str">
        <f t="shared" si="30"/>
        <v>30-39</v>
      </c>
      <c r="I672" t="str">
        <f t="shared" si="31"/>
        <v>Obese</v>
      </c>
      <c r="J672" t="str">
        <f t="shared" si="32"/>
        <v>No</v>
      </c>
    </row>
    <row r="673" spans="1:10" x14ac:dyDescent="0.25">
      <c r="A673">
        <v>29</v>
      </c>
      <c r="B673" t="s">
        <v>7</v>
      </c>
      <c r="C673">
        <v>31.16</v>
      </c>
      <c r="D673">
        <v>0</v>
      </c>
      <c r="E673" t="s">
        <v>11</v>
      </c>
      <c r="F673" t="s">
        <v>14</v>
      </c>
      <c r="G673">
        <v>3943.5954000000002</v>
      </c>
      <c r="H673" t="str">
        <f t="shared" si="30"/>
        <v>18-29</v>
      </c>
      <c r="I673" t="str">
        <f t="shared" si="31"/>
        <v>Obese</v>
      </c>
      <c r="J673" t="str">
        <f t="shared" si="32"/>
        <v>No</v>
      </c>
    </row>
    <row r="674" spans="1:10" x14ac:dyDescent="0.25">
      <c r="A674">
        <v>36</v>
      </c>
      <c r="B674" t="s">
        <v>10</v>
      </c>
      <c r="C674">
        <v>29.7</v>
      </c>
      <c r="D674">
        <v>0</v>
      </c>
      <c r="E674" t="s">
        <v>11</v>
      </c>
      <c r="F674" t="s">
        <v>12</v>
      </c>
      <c r="G674">
        <v>4399.7309999999998</v>
      </c>
      <c r="H674" t="str">
        <f t="shared" si="30"/>
        <v>30-39</v>
      </c>
      <c r="I674" t="str">
        <f t="shared" si="31"/>
        <v>Overweight</v>
      </c>
      <c r="J674" t="str">
        <f t="shared" si="32"/>
        <v>No</v>
      </c>
    </row>
    <row r="675" spans="1:10" x14ac:dyDescent="0.25">
      <c r="A675">
        <v>41</v>
      </c>
      <c r="B675" t="s">
        <v>7</v>
      </c>
      <c r="C675">
        <v>31.02</v>
      </c>
      <c r="D675">
        <v>0</v>
      </c>
      <c r="E675" t="s">
        <v>11</v>
      </c>
      <c r="F675" t="s">
        <v>12</v>
      </c>
      <c r="G675">
        <v>6185.3208000000004</v>
      </c>
      <c r="H675" t="str">
        <f t="shared" si="30"/>
        <v>40-49</v>
      </c>
      <c r="I675" t="str">
        <f t="shared" si="31"/>
        <v>Obese</v>
      </c>
      <c r="J675" t="str">
        <f t="shared" si="32"/>
        <v>No</v>
      </c>
    </row>
    <row r="676" spans="1:10" x14ac:dyDescent="0.25">
      <c r="A676">
        <v>44</v>
      </c>
      <c r="B676" t="s">
        <v>7</v>
      </c>
      <c r="C676">
        <v>43.89</v>
      </c>
      <c r="D676">
        <v>2</v>
      </c>
      <c r="E676" t="s">
        <v>8</v>
      </c>
      <c r="F676" t="s">
        <v>12</v>
      </c>
      <c r="G676">
        <v>46200.985099999998</v>
      </c>
      <c r="H676" t="str">
        <f t="shared" si="30"/>
        <v>40-49</v>
      </c>
      <c r="I676" t="str">
        <f t="shared" si="31"/>
        <v>Obese</v>
      </c>
      <c r="J676" t="str">
        <f t="shared" si="32"/>
        <v>Yes</v>
      </c>
    </row>
    <row r="677" spans="1:10" x14ac:dyDescent="0.25">
      <c r="A677">
        <v>45</v>
      </c>
      <c r="B677" t="s">
        <v>10</v>
      </c>
      <c r="C677">
        <v>21.375</v>
      </c>
      <c r="D677">
        <v>0</v>
      </c>
      <c r="E677" t="s">
        <v>11</v>
      </c>
      <c r="F677" t="s">
        <v>13</v>
      </c>
      <c r="G677">
        <v>7222.7862500000001</v>
      </c>
      <c r="H677" t="str">
        <f t="shared" si="30"/>
        <v>40-49</v>
      </c>
      <c r="I677" t="str">
        <f t="shared" si="31"/>
        <v>Normal</v>
      </c>
      <c r="J677" t="str">
        <f t="shared" si="32"/>
        <v>No</v>
      </c>
    </row>
    <row r="678" spans="1:10" x14ac:dyDescent="0.25">
      <c r="A678">
        <v>55</v>
      </c>
      <c r="B678" t="s">
        <v>7</v>
      </c>
      <c r="C678">
        <v>40.81</v>
      </c>
      <c r="D678">
        <v>3</v>
      </c>
      <c r="E678" t="s">
        <v>11</v>
      </c>
      <c r="F678" t="s">
        <v>12</v>
      </c>
      <c r="G678">
        <v>12485.8009</v>
      </c>
      <c r="H678" t="str">
        <f t="shared" si="30"/>
        <v>50-59</v>
      </c>
      <c r="I678" t="str">
        <f t="shared" si="31"/>
        <v>Obese</v>
      </c>
      <c r="J678" t="str">
        <f t="shared" si="32"/>
        <v>No</v>
      </c>
    </row>
    <row r="679" spans="1:10" x14ac:dyDescent="0.25">
      <c r="A679">
        <v>60</v>
      </c>
      <c r="B679" t="s">
        <v>10</v>
      </c>
      <c r="C679">
        <v>31.35</v>
      </c>
      <c r="D679">
        <v>3</v>
      </c>
      <c r="E679" t="s">
        <v>8</v>
      </c>
      <c r="F679" t="s">
        <v>13</v>
      </c>
      <c r="G679">
        <v>46130.5265</v>
      </c>
      <c r="H679" t="str">
        <f t="shared" si="30"/>
        <v>60+</v>
      </c>
      <c r="I679" t="str">
        <f t="shared" si="31"/>
        <v>Obese</v>
      </c>
      <c r="J679" t="str">
        <f t="shared" si="32"/>
        <v>Yes</v>
      </c>
    </row>
    <row r="680" spans="1:10" x14ac:dyDescent="0.25">
      <c r="A680">
        <v>56</v>
      </c>
      <c r="B680" t="s">
        <v>10</v>
      </c>
      <c r="C680">
        <v>36.1</v>
      </c>
      <c r="D680">
        <v>3</v>
      </c>
      <c r="E680" t="s">
        <v>11</v>
      </c>
      <c r="F680" t="s">
        <v>9</v>
      </c>
      <c r="G680">
        <v>12363.547</v>
      </c>
      <c r="H680" t="str">
        <f t="shared" si="30"/>
        <v>50-59</v>
      </c>
      <c r="I680" t="str">
        <f t="shared" si="31"/>
        <v>Obese</v>
      </c>
      <c r="J680" t="str">
        <f t="shared" si="32"/>
        <v>No</v>
      </c>
    </row>
    <row r="681" spans="1:10" x14ac:dyDescent="0.25">
      <c r="A681">
        <v>49</v>
      </c>
      <c r="B681" t="s">
        <v>7</v>
      </c>
      <c r="C681">
        <v>23.18</v>
      </c>
      <c r="D681">
        <v>2</v>
      </c>
      <c r="E681" t="s">
        <v>11</v>
      </c>
      <c r="F681" t="s">
        <v>13</v>
      </c>
      <c r="G681">
        <v>10156.7832</v>
      </c>
      <c r="H681" t="str">
        <f t="shared" si="30"/>
        <v>40-49</v>
      </c>
      <c r="I681" t="str">
        <f t="shared" si="31"/>
        <v>Normal</v>
      </c>
      <c r="J681" t="str">
        <f t="shared" si="32"/>
        <v>No</v>
      </c>
    </row>
    <row r="682" spans="1:10" x14ac:dyDescent="0.25">
      <c r="A682">
        <v>21</v>
      </c>
      <c r="B682" t="s">
        <v>7</v>
      </c>
      <c r="C682">
        <v>17.399999999999999</v>
      </c>
      <c r="D682">
        <v>1</v>
      </c>
      <c r="E682" t="s">
        <v>11</v>
      </c>
      <c r="F682" t="s">
        <v>9</v>
      </c>
      <c r="G682">
        <v>2585.2689999999998</v>
      </c>
      <c r="H682" t="str">
        <f t="shared" si="30"/>
        <v>18-29</v>
      </c>
      <c r="I682" t="str">
        <f t="shared" si="31"/>
        <v>Underweight</v>
      </c>
      <c r="J682" t="str">
        <f t="shared" si="32"/>
        <v>No</v>
      </c>
    </row>
    <row r="683" spans="1:10" x14ac:dyDescent="0.25">
      <c r="A683">
        <v>19</v>
      </c>
      <c r="B683" t="s">
        <v>10</v>
      </c>
      <c r="C683">
        <v>20.3</v>
      </c>
      <c r="D683">
        <v>0</v>
      </c>
      <c r="E683" t="s">
        <v>11</v>
      </c>
      <c r="F683" t="s">
        <v>9</v>
      </c>
      <c r="G683">
        <v>1242.26</v>
      </c>
      <c r="H683" t="str">
        <f t="shared" si="30"/>
        <v>18-29</v>
      </c>
      <c r="I683" t="str">
        <f t="shared" si="31"/>
        <v>Normal</v>
      </c>
      <c r="J683" t="str">
        <f t="shared" si="32"/>
        <v>No</v>
      </c>
    </row>
    <row r="684" spans="1:10" x14ac:dyDescent="0.25">
      <c r="A684">
        <v>39</v>
      </c>
      <c r="B684" t="s">
        <v>10</v>
      </c>
      <c r="C684">
        <v>35.299999999999997</v>
      </c>
      <c r="D684">
        <v>2</v>
      </c>
      <c r="E684" t="s">
        <v>8</v>
      </c>
      <c r="F684" t="s">
        <v>9</v>
      </c>
      <c r="G684">
        <v>40103.89</v>
      </c>
      <c r="H684" t="str">
        <f t="shared" si="30"/>
        <v>30-39</v>
      </c>
      <c r="I684" t="str">
        <f t="shared" si="31"/>
        <v>Obese</v>
      </c>
      <c r="J684" t="str">
        <f t="shared" si="32"/>
        <v>Yes</v>
      </c>
    </row>
    <row r="685" spans="1:10" x14ac:dyDescent="0.25">
      <c r="A685">
        <v>53</v>
      </c>
      <c r="B685" t="s">
        <v>10</v>
      </c>
      <c r="C685">
        <v>24.32</v>
      </c>
      <c r="D685">
        <v>0</v>
      </c>
      <c r="E685" t="s">
        <v>11</v>
      </c>
      <c r="F685" t="s">
        <v>13</v>
      </c>
      <c r="G685">
        <v>9863.4717999999993</v>
      </c>
      <c r="H685" t="str">
        <f t="shared" si="30"/>
        <v>50-59</v>
      </c>
      <c r="I685" t="str">
        <f t="shared" si="31"/>
        <v>Normal</v>
      </c>
      <c r="J685" t="str">
        <f t="shared" si="32"/>
        <v>No</v>
      </c>
    </row>
    <row r="686" spans="1:10" x14ac:dyDescent="0.25">
      <c r="A686">
        <v>33</v>
      </c>
      <c r="B686" t="s">
        <v>7</v>
      </c>
      <c r="C686">
        <v>18.5</v>
      </c>
      <c r="D686">
        <v>1</v>
      </c>
      <c r="E686" t="s">
        <v>11</v>
      </c>
      <c r="F686" t="s">
        <v>9</v>
      </c>
      <c r="G686">
        <v>4766.0219999999999</v>
      </c>
      <c r="H686" t="str">
        <f t="shared" si="30"/>
        <v>30-39</v>
      </c>
      <c r="I686" t="str">
        <f t="shared" si="31"/>
        <v>Normal</v>
      </c>
      <c r="J686" t="str">
        <f t="shared" si="32"/>
        <v>No</v>
      </c>
    </row>
    <row r="687" spans="1:10" x14ac:dyDescent="0.25">
      <c r="A687">
        <v>53</v>
      </c>
      <c r="B687" t="s">
        <v>10</v>
      </c>
      <c r="C687">
        <v>26.41</v>
      </c>
      <c r="D687">
        <v>2</v>
      </c>
      <c r="E687" t="s">
        <v>11</v>
      </c>
      <c r="F687" t="s">
        <v>14</v>
      </c>
      <c r="G687">
        <v>11244.376899999999</v>
      </c>
      <c r="H687" t="str">
        <f t="shared" si="30"/>
        <v>50-59</v>
      </c>
      <c r="I687" t="str">
        <f t="shared" si="31"/>
        <v>Overweight</v>
      </c>
      <c r="J687" t="str">
        <f t="shared" si="32"/>
        <v>No</v>
      </c>
    </row>
    <row r="688" spans="1:10" x14ac:dyDescent="0.25">
      <c r="A688">
        <v>42</v>
      </c>
      <c r="B688" t="s">
        <v>10</v>
      </c>
      <c r="C688">
        <v>26.125</v>
      </c>
      <c r="D688">
        <v>2</v>
      </c>
      <c r="E688" t="s">
        <v>11</v>
      </c>
      <c r="F688" t="s">
        <v>14</v>
      </c>
      <c r="G688">
        <v>7729.6457499999997</v>
      </c>
      <c r="H688" t="str">
        <f t="shared" si="30"/>
        <v>40-49</v>
      </c>
      <c r="I688" t="str">
        <f t="shared" si="31"/>
        <v>Overweight</v>
      </c>
      <c r="J688" t="str">
        <f t="shared" si="32"/>
        <v>No</v>
      </c>
    </row>
    <row r="689" spans="1:10" x14ac:dyDescent="0.25">
      <c r="A689">
        <v>40</v>
      </c>
      <c r="B689" t="s">
        <v>10</v>
      </c>
      <c r="C689">
        <v>41.69</v>
      </c>
      <c r="D689">
        <v>0</v>
      </c>
      <c r="E689" t="s">
        <v>11</v>
      </c>
      <c r="F689" t="s">
        <v>12</v>
      </c>
      <c r="G689">
        <v>5438.7491</v>
      </c>
      <c r="H689" t="str">
        <f t="shared" si="30"/>
        <v>40-49</v>
      </c>
      <c r="I689" t="str">
        <f t="shared" si="31"/>
        <v>Obese</v>
      </c>
      <c r="J689" t="str">
        <f t="shared" si="32"/>
        <v>No</v>
      </c>
    </row>
    <row r="690" spans="1:10" x14ac:dyDescent="0.25">
      <c r="A690">
        <v>47</v>
      </c>
      <c r="B690" t="s">
        <v>7</v>
      </c>
      <c r="C690">
        <v>24.1</v>
      </c>
      <c r="D690">
        <v>1</v>
      </c>
      <c r="E690" t="s">
        <v>11</v>
      </c>
      <c r="F690" t="s">
        <v>9</v>
      </c>
      <c r="G690">
        <v>26236.579969999999</v>
      </c>
      <c r="H690" t="str">
        <f t="shared" si="30"/>
        <v>40-49</v>
      </c>
      <c r="I690" t="str">
        <f t="shared" si="31"/>
        <v>Normal</v>
      </c>
      <c r="J690" t="str">
        <f t="shared" si="32"/>
        <v>Yes</v>
      </c>
    </row>
    <row r="691" spans="1:10" x14ac:dyDescent="0.25">
      <c r="A691">
        <v>27</v>
      </c>
      <c r="B691" t="s">
        <v>10</v>
      </c>
      <c r="C691">
        <v>31.13</v>
      </c>
      <c r="D691">
        <v>1</v>
      </c>
      <c r="E691" t="s">
        <v>8</v>
      </c>
      <c r="F691" t="s">
        <v>12</v>
      </c>
      <c r="G691">
        <v>34806.467700000001</v>
      </c>
      <c r="H691" t="str">
        <f t="shared" si="30"/>
        <v>18-29</v>
      </c>
      <c r="I691" t="str">
        <f t="shared" si="31"/>
        <v>Obese</v>
      </c>
      <c r="J691" t="str">
        <f t="shared" si="32"/>
        <v>Yes</v>
      </c>
    </row>
    <row r="692" spans="1:10" x14ac:dyDescent="0.25">
      <c r="A692">
        <v>21</v>
      </c>
      <c r="B692" t="s">
        <v>10</v>
      </c>
      <c r="C692">
        <v>27.36</v>
      </c>
      <c r="D692">
        <v>0</v>
      </c>
      <c r="E692" t="s">
        <v>11</v>
      </c>
      <c r="F692" t="s">
        <v>14</v>
      </c>
      <c r="G692">
        <v>2104.1134000000002</v>
      </c>
      <c r="H692" t="str">
        <f t="shared" si="30"/>
        <v>18-29</v>
      </c>
      <c r="I692" t="str">
        <f t="shared" si="31"/>
        <v>Overweight</v>
      </c>
      <c r="J692" t="str">
        <f t="shared" si="32"/>
        <v>No</v>
      </c>
    </row>
    <row r="693" spans="1:10" x14ac:dyDescent="0.25">
      <c r="A693">
        <v>47</v>
      </c>
      <c r="B693" t="s">
        <v>10</v>
      </c>
      <c r="C693">
        <v>36.200000000000003</v>
      </c>
      <c r="D693">
        <v>1</v>
      </c>
      <c r="E693" t="s">
        <v>11</v>
      </c>
      <c r="F693" t="s">
        <v>9</v>
      </c>
      <c r="G693">
        <v>8068.1850000000004</v>
      </c>
      <c r="H693" t="str">
        <f t="shared" si="30"/>
        <v>40-49</v>
      </c>
      <c r="I693" t="str">
        <f t="shared" si="31"/>
        <v>Obese</v>
      </c>
      <c r="J693" t="str">
        <f t="shared" si="32"/>
        <v>No</v>
      </c>
    </row>
    <row r="694" spans="1:10" x14ac:dyDescent="0.25">
      <c r="A694">
        <v>20</v>
      </c>
      <c r="B694" t="s">
        <v>10</v>
      </c>
      <c r="C694">
        <v>32.395000000000003</v>
      </c>
      <c r="D694">
        <v>1</v>
      </c>
      <c r="E694" t="s">
        <v>11</v>
      </c>
      <c r="F694" t="s">
        <v>13</v>
      </c>
      <c r="G694">
        <v>2362.2290499999999</v>
      </c>
      <c r="H694" t="str">
        <f t="shared" si="30"/>
        <v>18-29</v>
      </c>
      <c r="I694" t="str">
        <f t="shared" si="31"/>
        <v>Obese</v>
      </c>
      <c r="J694" t="str">
        <f t="shared" si="32"/>
        <v>No</v>
      </c>
    </row>
    <row r="695" spans="1:10" x14ac:dyDescent="0.25">
      <c r="A695">
        <v>24</v>
      </c>
      <c r="B695" t="s">
        <v>10</v>
      </c>
      <c r="C695">
        <v>23.655000000000001</v>
      </c>
      <c r="D695">
        <v>0</v>
      </c>
      <c r="E695" t="s">
        <v>11</v>
      </c>
      <c r="F695" t="s">
        <v>13</v>
      </c>
      <c r="G695">
        <v>2352.9684499999998</v>
      </c>
      <c r="H695" t="str">
        <f t="shared" si="30"/>
        <v>18-29</v>
      </c>
      <c r="I695" t="str">
        <f t="shared" si="31"/>
        <v>Normal</v>
      </c>
      <c r="J695" t="str">
        <f t="shared" si="32"/>
        <v>No</v>
      </c>
    </row>
    <row r="696" spans="1:10" x14ac:dyDescent="0.25">
      <c r="A696">
        <v>27</v>
      </c>
      <c r="B696" t="s">
        <v>7</v>
      </c>
      <c r="C696">
        <v>34.799999999999997</v>
      </c>
      <c r="D696">
        <v>1</v>
      </c>
      <c r="E696" t="s">
        <v>11</v>
      </c>
      <c r="F696" t="s">
        <v>9</v>
      </c>
      <c r="G696">
        <v>3577.9989999999998</v>
      </c>
      <c r="H696" t="str">
        <f t="shared" si="30"/>
        <v>18-29</v>
      </c>
      <c r="I696" t="str">
        <f t="shared" si="31"/>
        <v>Obese</v>
      </c>
      <c r="J696" t="str">
        <f t="shared" si="32"/>
        <v>No</v>
      </c>
    </row>
    <row r="697" spans="1:10" x14ac:dyDescent="0.25">
      <c r="A697">
        <v>26</v>
      </c>
      <c r="B697" t="s">
        <v>7</v>
      </c>
      <c r="C697">
        <v>40.185000000000002</v>
      </c>
      <c r="D697">
        <v>0</v>
      </c>
      <c r="E697" t="s">
        <v>11</v>
      </c>
      <c r="F697" t="s">
        <v>13</v>
      </c>
      <c r="G697">
        <v>3201.2451500000002</v>
      </c>
      <c r="H697" t="str">
        <f t="shared" si="30"/>
        <v>18-29</v>
      </c>
      <c r="I697" t="str">
        <f t="shared" si="31"/>
        <v>Obese</v>
      </c>
      <c r="J697" t="str">
        <f t="shared" si="32"/>
        <v>No</v>
      </c>
    </row>
    <row r="698" spans="1:10" x14ac:dyDescent="0.25">
      <c r="A698">
        <v>53</v>
      </c>
      <c r="B698" t="s">
        <v>7</v>
      </c>
      <c r="C698">
        <v>32.299999999999997</v>
      </c>
      <c r="D698">
        <v>2</v>
      </c>
      <c r="E698" t="s">
        <v>11</v>
      </c>
      <c r="F698" t="s">
        <v>14</v>
      </c>
      <c r="G698">
        <v>29186.482360000002</v>
      </c>
      <c r="H698" t="str">
        <f t="shared" si="30"/>
        <v>50-59</v>
      </c>
      <c r="I698" t="str">
        <f t="shared" si="31"/>
        <v>Obese</v>
      </c>
      <c r="J698" t="str">
        <f t="shared" si="32"/>
        <v>Yes</v>
      </c>
    </row>
    <row r="699" spans="1:10" x14ac:dyDescent="0.25">
      <c r="A699">
        <v>41</v>
      </c>
      <c r="B699" t="s">
        <v>10</v>
      </c>
      <c r="C699">
        <v>35.75</v>
      </c>
      <c r="D699">
        <v>1</v>
      </c>
      <c r="E699" t="s">
        <v>8</v>
      </c>
      <c r="F699" t="s">
        <v>12</v>
      </c>
      <c r="G699">
        <v>40273.645499999999</v>
      </c>
      <c r="H699" t="str">
        <f t="shared" si="30"/>
        <v>40-49</v>
      </c>
      <c r="I699" t="str">
        <f t="shared" si="31"/>
        <v>Obese</v>
      </c>
      <c r="J699" t="str">
        <f t="shared" si="32"/>
        <v>Yes</v>
      </c>
    </row>
    <row r="700" spans="1:10" x14ac:dyDescent="0.25">
      <c r="A700">
        <v>56</v>
      </c>
      <c r="B700" t="s">
        <v>10</v>
      </c>
      <c r="C700">
        <v>33.725000000000001</v>
      </c>
      <c r="D700">
        <v>0</v>
      </c>
      <c r="E700" t="s">
        <v>11</v>
      </c>
      <c r="F700" t="s">
        <v>13</v>
      </c>
      <c r="G700">
        <v>10976.24575</v>
      </c>
      <c r="H700" t="str">
        <f t="shared" si="30"/>
        <v>50-59</v>
      </c>
      <c r="I700" t="str">
        <f t="shared" si="31"/>
        <v>Obese</v>
      </c>
      <c r="J700" t="str">
        <f t="shared" si="32"/>
        <v>No</v>
      </c>
    </row>
    <row r="701" spans="1:10" x14ac:dyDescent="0.25">
      <c r="A701">
        <v>23</v>
      </c>
      <c r="B701" t="s">
        <v>7</v>
      </c>
      <c r="C701">
        <v>39.270000000000003</v>
      </c>
      <c r="D701">
        <v>2</v>
      </c>
      <c r="E701" t="s">
        <v>11</v>
      </c>
      <c r="F701" t="s">
        <v>12</v>
      </c>
      <c r="G701">
        <v>3500.6122999999998</v>
      </c>
      <c r="H701" t="str">
        <f t="shared" si="30"/>
        <v>18-29</v>
      </c>
      <c r="I701" t="str">
        <f t="shared" si="31"/>
        <v>Obese</v>
      </c>
      <c r="J701" t="str">
        <f t="shared" si="32"/>
        <v>No</v>
      </c>
    </row>
    <row r="702" spans="1:10" x14ac:dyDescent="0.25">
      <c r="A702">
        <v>21</v>
      </c>
      <c r="B702" t="s">
        <v>7</v>
      </c>
      <c r="C702">
        <v>34.869999999999997</v>
      </c>
      <c r="D702">
        <v>0</v>
      </c>
      <c r="E702" t="s">
        <v>11</v>
      </c>
      <c r="F702" t="s">
        <v>12</v>
      </c>
      <c r="G702">
        <v>2020.5523000000001</v>
      </c>
      <c r="H702" t="str">
        <f t="shared" si="30"/>
        <v>18-29</v>
      </c>
      <c r="I702" t="str">
        <f t="shared" si="31"/>
        <v>Obese</v>
      </c>
      <c r="J702" t="str">
        <f t="shared" si="32"/>
        <v>No</v>
      </c>
    </row>
    <row r="703" spans="1:10" x14ac:dyDescent="0.25">
      <c r="A703">
        <v>50</v>
      </c>
      <c r="B703" t="s">
        <v>7</v>
      </c>
      <c r="C703">
        <v>44.744999999999997</v>
      </c>
      <c r="D703">
        <v>0</v>
      </c>
      <c r="E703" t="s">
        <v>11</v>
      </c>
      <c r="F703" t="s">
        <v>14</v>
      </c>
      <c r="G703">
        <v>9541.6955500000004</v>
      </c>
      <c r="H703" t="str">
        <f t="shared" si="30"/>
        <v>50-59</v>
      </c>
      <c r="I703" t="str">
        <f t="shared" si="31"/>
        <v>Obese</v>
      </c>
      <c r="J703" t="str">
        <f t="shared" si="32"/>
        <v>No</v>
      </c>
    </row>
    <row r="704" spans="1:10" x14ac:dyDescent="0.25">
      <c r="A704">
        <v>53</v>
      </c>
      <c r="B704" t="s">
        <v>10</v>
      </c>
      <c r="C704">
        <v>41.47</v>
      </c>
      <c r="D704">
        <v>0</v>
      </c>
      <c r="E704" t="s">
        <v>11</v>
      </c>
      <c r="F704" t="s">
        <v>12</v>
      </c>
      <c r="G704">
        <v>9504.3102999999992</v>
      </c>
      <c r="H704" t="str">
        <f t="shared" si="30"/>
        <v>50-59</v>
      </c>
      <c r="I704" t="str">
        <f t="shared" si="31"/>
        <v>Obese</v>
      </c>
      <c r="J704" t="str">
        <f t="shared" si="32"/>
        <v>No</v>
      </c>
    </row>
    <row r="705" spans="1:10" x14ac:dyDescent="0.25">
      <c r="A705">
        <v>34</v>
      </c>
      <c r="B705" t="s">
        <v>7</v>
      </c>
      <c r="C705">
        <v>26.41</v>
      </c>
      <c r="D705">
        <v>1</v>
      </c>
      <c r="E705" t="s">
        <v>11</v>
      </c>
      <c r="F705" t="s">
        <v>13</v>
      </c>
      <c r="G705">
        <v>5385.3379000000004</v>
      </c>
      <c r="H705" t="str">
        <f t="shared" si="30"/>
        <v>30-39</v>
      </c>
      <c r="I705" t="str">
        <f t="shared" si="31"/>
        <v>Overweight</v>
      </c>
      <c r="J705" t="str">
        <f t="shared" si="32"/>
        <v>No</v>
      </c>
    </row>
    <row r="706" spans="1:10" x14ac:dyDescent="0.25">
      <c r="A706">
        <v>47</v>
      </c>
      <c r="B706" t="s">
        <v>7</v>
      </c>
      <c r="C706">
        <v>29.545000000000002</v>
      </c>
      <c r="D706">
        <v>1</v>
      </c>
      <c r="E706" t="s">
        <v>11</v>
      </c>
      <c r="F706" t="s">
        <v>13</v>
      </c>
      <c r="G706">
        <v>8930.9345499999999</v>
      </c>
      <c r="H706" t="str">
        <f t="shared" ref="H706:H769" si="33">IF(A706&lt;30, "18-29", IF(A706&lt;40, "30-39", IF(A706&lt;50, "40-49", IF(A706&lt;60, "50-59", "60+"))))</f>
        <v>40-49</v>
      </c>
      <c r="I706" t="str">
        <f t="shared" ref="I706:I769" si="34">IF(C706&lt;18.5, "Underweight", IF(C706&lt;25, "Normal", IF(C706&lt;30,"Overweight","Obese")))</f>
        <v>Overweight</v>
      </c>
      <c r="J706" t="str">
        <f t="shared" ref="J706:J769" si="35">IF(G706&gt;20000,"Yes","No")</f>
        <v>No</v>
      </c>
    </row>
    <row r="707" spans="1:10" x14ac:dyDescent="0.25">
      <c r="A707">
        <v>33</v>
      </c>
      <c r="B707" t="s">
        <v>7</v>
      </c>
      <c r="C707">
        <v>32.9</v>
      </c>
      <c r="D707">
        <v>2</v>
      </c>
      <c r="E707" t="s">
        <v>11</v>
      </c>
      <c r="F707" t="s">
        <v>9</v>
      </c>
      <c r="G707">
        <v>5375.0379999999996</v>
      </c>
      <c r="H707" t="str">
        <f t="shared" si="33"/>
        <v>30-39</v>
      </c>
      <c r="I707" t="str">
        <f t="shared" si="34"/>
        <v>Obese</v>
      </c>
      <c r="J707" t="str">
        <f t="shared" si="35"/>
        <v>No</v>
      </c>
    </row>
    <row r="708" spans="1:10" x14ac:dyDescent="0.25">
      <c r="A708">
        <v>51</v>
      </c>
      <c r="B708" t="s">
        <v>7</v>
      </c>
      <c r="C708">
        <v>38.06</v>
      </c>
      <c r="D708">
        <v>0</v>
      </c>
      <c r="E708" t="s">
        <v>8</v>
      </c>
      <c r="F708" t="s">
        <v>12</v>
      </c>
      <c r="G708">
        <v>44400.4064</v>
      </c>
      <c r="H708" t="str">
        <f t="shared" si="33"/>
        <v>50-59</v>
      </c>
      <c r="I708" t="str">
        <f t="shared" si="34"/>
        <v>Obese</v>
      </c>
      <c r="J708" t="str">
        <f t="shared" si="35"/>
        <v>Yes</v>
      </c>
    </row>
    <row r="709" spans="1:10" x14ac:dyDescent="0.25">
      <c r="A709">
        <v>49</v>
      </c>
      <c r="B709" t="s">
        <v>10</v>
      </c>
      <c r="C709">
        <v>28.69</v>
      </c>
      <c r="D709">
        <v>3</v>
      </c>
      <c r="E709" t="s">
        <v>11</v>
      </c>
      <c r="F709" t="s">
        <v>13</v>
      </c>
      <c r="G709">
        <v>10264.4421</v>
      </c>
      <c r="H709" t="str">
        <f t="shared" si="33"/>
        <v>40-49</v>
      </c>
      <c r="I709" t="str">
        <f t="shared" si="34"/>
        <v>Overweight</v>
      </c>
      <c r="J709" t="str">
        <f t="shared" si="35"/>
        <v>No</v>
      </c>
    </row>
    <row r="710" spans="1:10" x14ac:dyDescent="0.25">
      <c r="A710">
        <v>31</v>
      </c>
      <c r="B710" t="s">
        <v>7</v>
      </c>
      <c r="C710">
        <v>30.495000000000001</v>
      </c>
      <c r="D710">
        <v>3</v>
      </c>
      <c r="E710" t="s">
        <v>11</v>
      </c>
      <c r="F710" t="s">
        <v>14</v>
      </c>
      <c r="G710">
        <v>6113.2310500000003</v>
      </c>
      <c r="H710" t="str">
        <f t="shared" si="33"/>
        <v>30-39</v>
      </c>
      <c r="I710" t="str">
        <f t="shared" si="34"/>
        <v>Obese</v>
      </c>
      <c r="J710" t="str">
        <f t="shared" si="35"/>
        <v>No</v>
      </c>
    </row>
    <row r="711" spans="1:10" x14ac:dyDescent="0.25">
      <c r="A711">
        <v>36</v>
      </c>
      <c r="B711" t="s">
        <v>7</v>
      </c>
      <c r="C711">
        <v>27.74</v>
      </c>
      <c r="D711">
        <v>0</v>
      </c>
      <c r="E711" t="s">
        <v>11</v>
      </c>
      <c r="F711" t="s">
        <v>14</v>
      </c>
      <c r="G711">
        <v>5469.0065999999997</v>
      </c>
      <c r="H711" t="str">
        <f t="shared" si="33"/>
        <v>30-39</v>
      </c>
      <c r="I711" t="str">
        <f t="shared" si="34"/>
        <v>Overweight</v>
      </c>
      <c r="J711" t="str">
        <f t="shared" si="35"/>
        <v>No</v>
      </c>
    </row>
    <row r="712" spans="1:10" x14ac:dyDescent="0.25">
      <c r="A712">
        <v>18</v>
      </c>
      <c r="B712" t="s">
        <v>10</v>
      </c>
      <c r="C712">
        <v>35.200000000000003</v>
      </c>
      <c r="D712">
        <v>1</v>
      </c>
      <c r="E712" t="s">
        <v>11</v>
      </c>
      <c r="F712" t="s">
        <v>12</v>
      </c>
      <c r="G712">
        <v>1727.54</v>
      </c>
      <c r="H712" t="str">
        <f t="shared" si="33"/>
        <v>18-29</v>
      </c>
      <c r="I712" t="str">
        <f t="shared" si="34"/>
        <v>Obese</v>
      </c>
      <c r="J712" t="str">
        <f t="shared" si="35"/>
        <v>No</v>
      </c>
    </row>
    <row r="713" spans="1:10" x14ac:dyDescent="0.25">
      <c r="A713">
        <v>50</v>
      </c>
      <c r="B713" t="s">
        <v>7</v>
      </c>
      <c r="C713">
        <v>23.54</v>
      </c>
      <c r="D713">
        <v>2</v>
      </c>
      <c r="E713" t="s">
        <v>11</v>
      </c>
      <c r="F713" t="s">
        <v>12</v>
      </c>
      <c r="G713">
        <v>10107.220600000001</v>
      </c>
      <c r="H713" t="str">
        <f t="shared" si="33"/>
        <v>50-59</v>
      </c>
      <c r="I713" t="str">
        <f t="shared" si="34"/>
        <v>Normal</v>
      </c>
      <c r="J713" t="str">
        <f t="shared" si="35"/>
        <v>No</v>
      </c>
    </row>
    <row r="714" spans="1:10" x14ac:dyDescent="0.25">
      <c r="A714">
        <v>43</v>
      </c>
      <c r="B714" t="s">
        <v>7</v>
      </c>
      <c r="C714">
        <v>30.684999999999999</v>
      </c>
      <c r="D714">
        <v>2</v>
      </c>
      <c r="E714" t="s">
        <v>11</v>
      </c>
      <c r="F714" t="s">
        <v>13</v>
      </c>
      <c r="G714">
        <v>8310.8391499999998</v>
      </c>
      <c r="H714" t="str">
        <f t="shared" si="33"/>
        <v>40-49</v>
      </c>
      <c r="I714" t="str">
        <f t="shared" si="34"/>
        <v>Obese</v>
      </c>
      <c r="J714" t="str">
        <f t="shared" si="35"/>
        <v>No</v>
      </c>
    </row>
    <row r="715" spans="1:10" x14ac:dyDescent="0.25">
      <c r="A715">
        <v>20</v>
      </c>
      <c r="B715" t="s">
        <v>10</v>
      </c>
      <c r="C715">
        <v>40.47</v>
      </c>
      <c r="D715">
        <v>0</v>
      </c>
      <c r="E715" t="s">
        <v>11</v>
      </c>
      <c r="F715" t="s">
        <v>14</v>
      </c>
      <c r="G715">
        <v>1984.4532999999999</v>
      </c>
      <c r="H715" t="str">
        <f t="shared" si="33"/>
        <v>18-29</v>
      </c>
      <c r="I715" t="str">
        <f t="shared" si="34"/>
        <v>Obese</v>
      </c>
      <c r="J715" t="str">
        <f t="shared" si="35"/>
        <v>No</v>
      </c>
    </row>
    <row r="716" spans="1:10" x14ac:dyDescent="0.25">
      <c r="A716">
        <v>24</v>
      </c>
      <c r="B716" t="s">
        <v>7</v>
      </c>
      <c r="C716">
        <v>22.6</v>
      </c>
      <c r="D716">
        <v>0</v>
      </c>
      <c r="E716" t="s">
        <v>11</v>
      </c>
      <c r="F716" t="s">
        <v>9</v>
      </c>
      <c r="G716">
        <v>2457.502</v>
      </c>
      <c r="H716" t="str">
        <f t="shared" si="33"/>
        <v>18-29</v>
      </c>
      <c r="I716" t="str">
        <f t="shared" si="34"/>
        <v>Normal</v>
      </c>
      <c r="J716" t="str">
        <f t="shared" si="35"/>
        <v>No</v>
      </c>
    </row>
    <row r="717" spans="1:10" x14ac:dyDescent="0.25">
      <c r="A717">
        <v>60</v>
      </c>
      <c r="B717" t="s">
        <v>10</v>
      </c>
      <c r="C717">
        <v>28.9</v>
      </c>
      <c r="D717">
        <v>0</v>
      </c>
      <c r="E717" t="s">
        <v>11</v>
      </c>
      <c r="F717" t="s">
        <v>9</v>
      </c>
      <c r="G717">
        <v>12146.971</v>
      </c>
      <c r="H717" t="str">
        <f t="shared" si="33"/>
        <v>60+</v>
      </c>
      <c r="I717" t="str">
        <f t="shared" si="34"/>
        <v>Overweight</v>
      </c>
      <c r="J717" t="str">
        <f t="shared" si="35"/>
        <v>No</v>
      </c>
    </row>
    <row r="718" spans="1:10" x14ac:dyDescent="0.25">
      <c r="A718">
        <v>49</v>
      </c>
      <c r="B718" t="s">
        <v>7</v>
      </c>
      <c r="C718">
        <v>22.61</v>
      </c>
      <c r="D718">
        <v>1</v>
      </c>
      <c r="E718" t="s">
        <v>11</v>
      </c>
      <c r="F718" t="s">
        <v>13</v>
      </c>
      <c r="G718">
        <v>9566.9909000000007</v>
      </c>
      <c r="H718" t="str">
        <f t="shared" si="33"/>
        <v>40-49</v>
      </c>
      <c r="I718" t="str">
        <f t="shared" si="34"/>
        <v>Normal</v>
      </c>
      <c r="J718" t="str">
        <f t="shared" si="35"/>
        <v>No</v>
      </c>
    </row>
    <row r="719" spans="1:10" x14ac:dyDescent="0.25">
      <c r="A719">
        <v>60</v>
      </c>
      <c r="B719" t="s">
        <v>10</v>
      </c>
      <c r="C719">
        <v>24.32</v>
      </c>
      <c r="D719">
        <v>1</v>
      </c>
      <c r="E719" t="s">
        <v>11</v>
      </c>
      <c r="F719" t="s">
        <v>13</v>
      </c>
      <c r="G719">
        <v>13112.604799999999</v>
      </c>
      <c r="H719" t="str">
        <f t="shared" si="33"/>
        <v>60+</v>
      </c>
      <c r="I719" t="str">
        <f t="shared" si="34"/>
        <v>Normal</v>
      </c>
      <c r="J719" t="str">
        <f t="shared" si="35"/>
        <v>No</v>
      </c>
    </row>
    <row r="720" spans="1:10" x14ac:dyDescent="0.25">
      <c r="A720">
        <v>51</v>
      </c>
      <c r="B720" t="s">
        <v>7</v>
      </c>
      <c r="C720">
        <v>36.67</v>
      </c>
      <c r="D720">
        <v>2</v>
      </c>
      <c r="E720" t="s">
        <v>11</v>
      </c>
      <c r="F720" t="s">
        <v>13</v>
      </c>
      <c r="G720">
        <v>10848.1343</v>
      </c>
      <c r="H720" t="str">
        <f t="shared" si="33"/>
        <v>50-59</v>
      </c>
      <c r="I720" t="str">
        <f t="shared" si="34"/>
        <v>Obese</v>
      </c>
      <c r="J720" t="str">
        <f t="shared" si="35"/>
        <v>No</v>
      </c>
    </row>
    <row r="721" spans="1:10" x14ac:dyDescent="0.25">
      <c r="A721">
        <v>58</v>
      </c>
      <c r="B721" t="s">
        <v>7</v>
      </c>
      <c r="C721">
        <v>33.44</v>
      </c>
      <c r="D721">
        <v>0</v>
      </c>
      <c r="E721" t="s">
        <v>11</v>
      </c>
      <c r="F721" t="s">
        <v>13</v>
      </c>
      <c r="G721">
        <v>12231.613600000001</v>
      </c>
      <c r="H721" t="str">
        <f t="shared" si="33"/>
        <v>50-59</v>
      </c>
      <c r="I721" t="str">
        <f t="shared" si="34"/>
        <v>Obese</v>
      </c>
      <c r="J721" t="str">
        <f t="shared" si="35"/>
        <v>No</v>
      </c>
    </row>
    <row r="722" spans="1:10" x14ac:dyDescent="0.25">
      <c r="A722">
        <v>51</v>
      </c>
      <c r="B722" t="s">
        <v>7</v>
      </c>
      <c r="C722">
        <v>40.659999999999997</v>
      </c>
      <c r="D722">
        <v>0</v>
      </c>
      <c r="E722" t="s">
        <v>11</v>
      </c>
      <c r="F722" t="s">
        <v>14</v>
      </c>
      <c r="G722">
        <v>9875.6803999999993</v>
      </c>
      <c r="H722" t="str">
        <f t="shared" si="33"/>
        <v>50-59</v>
      </c>
      <c r="I722" t="str">
        <f t="shared" si="34"/>
        <v>Obese</v>
      </c>
      <c r="J722" t="str">
        <f t="shared" si="35"/>
        <v>No</v>
      </c>
    </row>
    <row r="723" spans="1:10" x14ac:dyDescent="0.25">
      <c r="A723">
        <v>53</v>
      </c>
      <c r="B723" t="s">
        <v>10</v>
      </c>
      <c r="C723">
        <v>36.6</v>
      </c>
      <c r="D723">
        <v>3</v>
      </c>
      <c r="E723" t="s">
        <v>11</v>
      </c>
      <c r="F723" t="s">
        <v>9</v>
      </c>
      <c r="G723">
        <v>11264.540999999999</v>
      </c>
      <c r="H723" t="str">
        <f t="shared" si="33"/>
        <v>50-59</v>
      </c>
      <c r="I723" t="str">
        <f t="shared" si="34"/>
        <v>Obese</v>
      </c>
      <c r="J723" t="str">
        <f t="shared" si="35"/>
        <v>No</v>
      </c>
    </row>
    <row r="724" spans="1:10" x14ac:dyDescent="0.25">
      <c r="A724">
        <v>62</v>
      </c>
      <c r="B724" t="s">
        <v>10</v>
      </c>
      <c r="C724">
        <v>37.4</v>
      </c>
      <c r="D724">
        <v>0</v>
      </c>
      <c r="E724" t="s">
        <v>11</v>
      </c>
      <c r="F724" t="s">
        <v>9</v>
      </c>
      <c r="G724">
        <v>12979.358</v>
      </c>
      <c r="H724" t="str">
        <f t="shared" si="33"/>
        <v>60+</v>
      </c>
      <c r="I724" t="str">
        <f t="shared" si="34"/>
        <v>Obese</v>
      </c>
      <c r="J724" t="str">
        <f t="shared" si="35"/>
        <v>No</v>
      </c>
    </row>
    <row r="725" spans="1:10" x14ac:dyDescent="0.25">
      <c r="A725">
        <v>19</v>
      </c>
      <c r="B725" t="s">
        <v>10</v>
      </c>
      <c r="C725">
        <v>35.4</v>
      </c>
      <c r="D725">
        <v>0</v>
      </c>
      <c r="E725" t="s">
        <v>11</v>
      </c>
      <c r="F725" t="s">
        <v>9</v>
      </c>
      <c r="G725">
        <v>1263.249</v>
      </c>
      <c r="H725" t="str">
        <f t="shared" si="33"/>
        <v>18-29</v>
      </c>
      <c r="I725" t="str">
        <f t="shared" si="34"/>
        <v>Obese</v>
      </c>
      <c r="J725" t="str">
        <f t="shared" si="35"/>
        <v>No</v>
      </c>
    </row>
    <row r="726" spans="1:10" x14ac:dyDescent="0.25">
      <c r="A726">
        <v>50</v>
      </c>
      <c r="B726" t="s">
        <v>7</v>
      </c>
      <c r="C726">
        <v>27.074999999999999</v>
      </c>
      <c r="D726">
        <v>1</v>
      </c>
      <c r="E726" t="s">
        <v>11</v>
      </c>
      <c r="F726" t="s">
        <v>14</v>
      </c>
      <c r="G726">
        <v>10106.134249999999</v>
      </c>
      <c r="H726" t="str">
        <f t="shared" si="33"/>
        <v>50-59</v>
      </c>
      <c r="I726" t="str">
        <f t="shared" si="34"/>
        <v>Overweight</v>
      </c>
      <c r="J726" t="str">
        <f t="shared" si="35"/>
        <v>No</v>
      </c>
    </row>
    <row r="727" spans="1:10" x14ac:dyDescent="0.25">
      <c r="A727">
        <v>30</v>
      </c>
      <c r="B727" t="s">
        <v>7</v>
      </c>
      <c r="C727">
        <v>39.049999999999997</v>
      </c>
      <c r="D727">
        <v>3</v>
      </c>
      <c r="E727" t="s">
        <v>8</v>
      </c>
      <c r="F727" t="s">
        <v>12</v>
      </c>
      <c r="G727">
        <v>40932.429499999998</v>
      </c>
      <c r="H727" t="str">
        <f t="shared" si="33"/>
        <v>30-39</v>
      </c>
      <c r="I727" t="str">
        <f t="shared" si="34"/>
        <v>Obese</v>
      </c>
      <c r="J727" t="str">
        <f t="shared" si="35"/>
        <v>Yes</v>
      </c>
    </row>
    <row r="728" spans="1:10" x14ac:dyDescent="0.25">
      <c r="A728">
        <v>41</v>
      </c>
      <c r="B728" t="s">
        <v>10</v>
      </c>
      <c r="C728">
        <v>28.405000000000001</v>
      </c>
      <c r="D728">
        <v>1</v>
      </c>
      <c r="E728" t="s">
        <v>11</v>
      </c>
      <c r="F728" t="s">
        <v>13</v>
      </c>
      <c r="G728">
        <v>6664.68595</v>
      </c>
      <c r="H728" t="str">
        <f t="shared" si="33"/>
        <v>40-49</v>
      </c>
      <c r="I728" t="str">
        <f t="shared" si="34"/>
        <v>Overweight</v>
      </c>
      <c r="J728" t="str">
        <f t="shared" si="35"/>
        <v>No</v>
      </c>
    </row>
    <row r="729" spans="1:10" x14ac:dyDescent="0.25">
      <c r="A729">
        <v>29</v>
      </c>
      <c r="B729" t="s">
        <v>7</v>
      </c>
      <c r="C729">
        <v>21.754999999999999</v>
      </c>
      <c r="D729">
        <v>1</v>
      </c>
      <c r="E729" t="s">
        <v>8</v>
      </c>
      <c r="F729" t="s">
        <v>14</v>
      </c>
      <c r="G729">
        <v>16657.71745</v>
      </c>
      <c r="H729" t="str">
        <f t="shared" si="33"/>
        <v>18-29</v>
      </c>
      <c r="I729" t="str">
        <f t="shared" si="34"/>
        <v>Normal</v>
      </c>
      <c r="J729" t="str">
        <f t="shared" si="35"/>
        <v>No</v>
      </c>
    </row>
    <row r="730" spans="1:10" x14ac:dyDescent="0.25">
      <c r="A730">
        <v>18</v>
      </c>
      <c r="B730" t="s">
        <v>7</v>
      </c>
      <c r="C730">
        <v>40.28</v>
      </c>
      <c r="D730">
        <v>0</v>
      </c>
      <c r="E730" t="s">
        <v>11</v>
      </c>
      <c r="F730" t="s">
        <v>14</v>
      </c>
      <c r="G730">
        <v>2217.6012000000001</v>
      </c>
      <c r="H730" t="str">
        <f t="shared" si="33"/>
        <v>18-29</v>
      </c>
      <c r="I730" t="str">
        <f t="shared" si="34"/>
        <v>Obese</v>
      </c>
      <c r="J730" t="str">
        <f t="shared" si="35"/>
        <v>No</v>
      </c>
    </row>
    <row r="731" spans="1:10" x14ac:dyDescent="0.25">
      <c r="A731">
        <v>41</v>
      </c>
      <c r="B731" t="s">
        <v>7</v>
      </c>
      <c r="C731">
        <v>36.08</v>
      </c>
      <c r="D731">
        <v>1</v>
      </c>
      <c r="E731" t="s">
        <v>11</v>
      </c>
      <c r="F731" t="s">
        <v>12</v>
      </c>
      <c r="G731">
        <v>6781.3541999999998</v>
      </c>
      <c r="H731" t="str">
        <f t="shared" si="33"/>
        <v>40-49</v>
      </c>
      <c r="I731" t="str">
        <f t="shared" si="34"/>
        <v>Obese</v>
      </c>
      <c r="J731" t="str">
        <f t="shared" si="35"/>
        <v>No</v>
      </c>
    </row>
    <row r="732" spans="1:10" x14ac:dyDescent="0.25">
      <c r="A732">
        <v>35</v>
      </c>
      <c r="B732" t="s">
        <v>10</v>
      </c>
      <c r="C732">
        <v>24.42</v>
      </c>
      <c r="D732">
        <v>3</v>
      </c>
      <c r="E732" t="s">
        <v>8</v>
      </c>
      <c r="F732" t="s">
        <v>12</v>
      </c>
      <c r="G732">
        <v>19361.998800000001</v>
      </c>
      <c r="H732" t="str">
        <f t="shared" si="33"/>
        <v>30-39</v>
      </c>
      <c r="I732" t="str">
        <f t="shared" si="34"/>
        <v>Normal</v>
      </c>
      <c r="J732" t="str">
        <f t="shared" si="35"/>
        <v>No</v>
      </c>
    </row>
    <row r="733" spans="1:10" x14ac:dyDescent="0.25">
      <c r="A733">
        <v>53</v>
      </c>
      <c r="B733" t="s">
        <v>10</v>
      </c>
      <c r="C733">
        <v>21.4</v>
      </c>
      <c r="D733">
        <v>1</v>
      </c>
      <c r="E733" t="s">
        <v>11</v>
      </c>
      <c r="F733" t="s">
        <v>9</v>
      </c>
      <c r="G733">
        <v>10065.413</v>
      </c>
      <c r="H733" t="str">
        <f t="shared" si="33"/>
        <v>50-59</v>
      </c>
      <c r="I733" t="str">
        <f t="shared" si="34"/>
        <v>Normal</v>
      </c>
      <c r="J733" t="str">
        <f t="shared" si="35"/>
        <v>No</v>
      </c>
    </row>
    <row r="734" spans="1:10" x14ac:dyDescent="0.25">
      <c r="A734">
        <v>24</v>
      </c>
      <c r="B734" t="s">
        <v>7</v>
      </c>
      <c r="C734">
        <v>30.1</v>
      </c>
      <c r="D734">
        <v>3</v>
      </c>
      <c r="E734" t="s">
        <v>11</v>
      </c>
      <c r="F734" t="s">
        <v>9</v>
      </c>
      <c r="G734">
        <v>4234.9269999999997</v>
      </c>
      <c r="H734" t="str">
        <f t="shared" si="33"/>
        <v>18-29</v>
      </c>
      <c r="I734" t="str">
        <f t="shared" si="34"/>
        <v>Obese</v>
      </c>
      <c r="J734" t="str">
        <f t="shared" si="35"/>
        <v>No</v>
      </c>
    </row>
    <row r="735" spans="1:10" x14ac:dyDescent="0.25">
      <c r="A735">
        <v>48</v>
      </c>
      <c r="B735" t="s">
        <v>7</v>
      </c>
      <c r="C735">
        <v>27.265000000000001</v>
      </c>
      <c r="D735">
        <v>1</v>
      </c>
      <c r="E735" t="s">
        <v>11</v>
      </c>
      <c r="F735" t="s">
        <v>14</v>
      </c>
      <c r="G735">
        <v>9447.2503500000003</v>
      </c>
      <c r="H735" t="str">
        <f t="shared" si="33"/>
        <v>40-49</v>
      </c>
      <c r="I735" t="str">
        <f t="shared" si="34"/>
        <v>Overweight</v>
      </c>
      <c r="J735" t="str">
        <f t="shared" si="35"/>
        <v>No</v>
      </c>
    </row>
    <row r="736" spans="1:10" x14ac:dyDescent="0.25">
      <c r="A736">
        <v>59</v>
      </c>
      <c r="B736" t="s">
        <v>7</v>
      </c>
      <c r="C736">
        <v>32.1</v>
      </c>
      <c r="D736">
        <v>3</v>
      </c>
      <c r="E736" t="s">
        <v>11</v>
      </c>
      <c r="F736" t="s">
        <v>9</v>
      </c>
      <c r="G736">
        <v>14007.222</v>
      </c>
      <c r="H736" t="str">
        <f t="shared" si="33"/>
        <v>50-59</v>
      </c>
      <c r="I736" t="str">
        <f t="shared" si="34"/>
        <v>Obese</v>
      </c>
      <c r="J736" t="str">
        <f t="shared" si="35"/>
        <v>No</v>
      </c>
    </row>
    <row r="737" spans="1:10" x14ac:dyDescent="0.25">
      <c r="A737">
        <v>49</v>
      </c>
      <c r="B737" t="s">
        <v>7</v>
      </c>
      <c r="C737">
        <v>34.770000000000003</v>
      </c>
      <c r="D737">
        <v>1</v>
      </c>
      <c r="E737" t="s">
        <v>11</v>
      </c>
      <c r="F737" t="s">
        <v>13</v>
      </c>
      <c r="G737">
        <v>9583.8932999999997</v>
      </c>
      <c r="H737" t="str">
        <f t="shared" si="33"/>
        <v>40-49</v>
      </c>
      <c r="I737" t="str">
        <f t="shared" si="34"/>
        <v>Obese</v>
      </c>
      <c r="J737" t="str">
        <f t="shared" si="35"/>
        <v>No</v>
      </c>
    </row>
    <row r="738" spans="1:10" x14ac:dyDescent="0.25">
      <c r="A738">
        <v>37</v>
      </c>
      <c r="B738" t="s">
        <v>7</v>
      </c>
      <c r="C738">
        <v>38.39</v>
      </c>
      <c r="D738">
        <v>0</v>
      </c>
      <c r="E738" t="s">
        <v>8</v>
      </c>
      <c r="F738" t="s">
        <v>12</v>
      </c>
      <c r="G738">
        <v>40419.019099999998</v>
      </c>
      <c r="H738" t="str">
        <f t="shared" si="33"/>
        <v>30-39</v>
      </c>
      <c r="I738" t="str">
        <f t="shared" si="34"/>
        <v>Obese</v>
      </c>
      <c r="J738" t="str">
        <f t="shared" si="35"/>
        <v>Yes</v>
      </c>
    </row>
    <row r="739" spans="1:10" x14ac:dyDescent="0.25">
      <c r="A739">
        <v>26</v>
      </c>
      <c r="B739" t="s">
        <v>10</v>
      </c>
      <c r="C739">
        <v>23.7</v>
      </c>
      <c r="D739">
        <v>2</v>
      </c>
      <c r="E739" t="s">
        <v>11</v>
      </c>
      <c r="F739" t="s">
        <v>9</v>
      </c>
      <c r="G739">
        <v>3484.3310000000001</v>
      </c>
      <c r="H739" t="str">
        <f t="shared" si="33"/>
        <v>18-29</v>
      </c>
      <c r="I739" t="str">
        <f t="shared" si="34"/>
        <v>Normal</v>
      </c>
      <c r="J739" t="str">
        <f t="shared" si="35"/>
        <v>No</v>
      </c>
    </row>
    <row r="740" spans="1:10" x14ac:dyDescent="0.25">
      <c r="A740">
        <v>23</v>
      </c>
      <c r="B740" t="s">
        <v>10</v>
      </c>
      <c r="C740">
        <v>31.73</v>
      </c>
      <c r="D740">
        <v>3</v>
      </c>
      <c r="E740" t="s">
        <v>8</v>
      </c>
      <c r="F740" t="s">
        <v>14</v>
      </c>
      <c r="G740">
        <v>36189.101699999999</v>
      </c>
      <c r="H740" t="str">
        <f t="shared" si="33"/>
        <v>18-29</v>
      </c>
      <c r="I740" t="str">
        <f t="shared" si="34"/>
        <v>Obese</v>
      </c>
      <c r="J740" t="str">
        <f t="shared" si="35"/>
        <v>Yes</v>
      </c>
    </row>
    <row r="741" spans="1:10" x14ac:dyDescent="0.25">
      <c r="A741">
        <v>29</v>
      </c>
      <c r="B741" t="s">
        <v>10</v>
      </c>
      <c r="C741">
        <v>35.5</v>
      </c>
      <c r="D741">
        <v>2</v>
      </c>
      <c r="E741" t="s">
        <v>8</v>
      </c>
      <c r="F741" t="s">
        <v>9</v>
      </c>
      <c r="G741">
        <v>44585.455869999998</v>
      </c>
      <c r="H741" t="str">
        <f t="shared" si="33"/>
        <v>18-29</v>
      </c>
      <c r="I741" t="str">
        <f t="shared" si="34"/>
        <v>Obese</v>
      </c>
      <c r="J741" t="str">
        <f t="shared" si="35"/>
        <v>Yes</v>
      </c>
    </row>
    <row r="742" spans="1:10" x14ac:dyDescent="0.25">
      <c r="A742">
        <v>45</v>
      </c>
      <c r="B742" t="s">
        <v>10</v>
      </c>
      <c r="C742">
        <v>24.035</v>
      </c>
      <c r="D742">
        <v>2</v>
      </c>
      <c r="E742" t="s">
        <v>11</v>
      </c>
      <c r="F742" t="s">
        <v>14</v>
      </c>
      <c r="G742">
        <v>8604.4836500000001</v>
      </c>
      <c r="H742" t="str">
        <f t="shared" si="33"/>
        <v>40-49</v>
      </c>
      <c r="I742" t="str">
        <f t="shared" si="34"/>
        <v>Normal</v>
      </c>
      <c r="J742" t="str">
        <f t="shared" si="35"/>
        <v>No</v>
      </c>
    </row>
    <row r="743" spans="1:10" x14ac:dyDescent="0.25">
      <c r="A743">
        <v>27</v>
      </c>
      <c r="B743" t="s">
        <v>10</v>
      </c>
      <c r="C743">
        <v>29.15</v>
      </c>
      <c r="D743">
        <v>0</v>
      </c>
      <c r="E743" t="s">
        <v>8</v>
      </c>
      <c r="F743" t="s">
        <v>12</v>
      </c>
      <c r="G743">
        <v>18246.495500000001</v>
      </c>
      <c r="H743" t="str">
        <f t="shared" si="33"/>
        <v>18-29</v>
      </c>
      <c r="I743" t="str">
        <f t="shared" si="34"/>
        <v>Overweight</v>
      </c>
      <c r="J743" t="str">
        <f t="shared" si="35"/>
        <v>No</v>
      </c>
    </row>
    <row r="744" spans="1:10" x14ac:dyDescent="0.25">
      <c r="A744">
        <v>53</v>
      </c>
      <c r="B744" t="s">
        <v>10</v>
      </c>
      <c r="C744">
        <v>34.104999999999997</v>
      </c>
      <c r="D744">
        <v>0</v>
      </c>
      <c r="E744" t="s">
        <v>8</v>
      </c>
      <c r="F744" t="s">
        <v>14</v>
      </c>
      <c r="G744">
        <v>43254.417950000003</v>
      </c>
      <c r="H744" t="str">
        <f t="shared" si="33"/>
        <v>50-59</v>
      </c>
      <c r="I744" t="str">
        <f t="shared" si="34"/>
        <v>Obese</v>
      </c>
      <c r="J744" t="str">
        <f t="shared" si="35"/>
        <v>Yes</v>
      </c>
    </row>
    <row r="745" spans="1:10" x14ac:dyDescent="0.25">
      <c r="A745">
        <v>31</v>
      </c>
      <c r="B745" t="s">
        <v>7</v>
      </c>
      <c r="C745">
        <v>26.62</v>
      </c>
      <c r="D745">
        <v>0</v>
      </c>
      <c r="E745" t="s">
        <v>11</v>
      </c>
      <c r="F745" t="s">
        <v>12</v>
      </c>
      <c r="G745">
        <v>3757.8447999999999</v>
      </c>
      <c r="H745" t="str">
        <f t="shared" si="33"/>
        <v>30-39</v>
      </c>
      <c r="I745" t="str">
        <f t="shared" si="34"/>
        <v>Overweight</v>
      </c>
      <c r="J745" t="str">
        <f t="shared" si="35"/>
        <v>No</v>
      </c>
    </row>
    <row r="746" spans="1:10" x14ac:dyDescent="0.25">
      <c r="A746">
        <v>50</v>
      </c>
      <c r="B746" t="s">
        <v>10</v>
      </c>
      <c r="C746">
        <v>26.41</v>
      </c>
      <c r="D746">
        <v>0</v>
      </c>
      <c r="E746" t="s">
        <v>11</v>
      </c>
      <c r="F746" t="s">
        <v>13</v>
      </c>
      <c r="G746">
        <v>8827.2098999999998</v>
      </c>
      <c r="H746" t="str">
        <f t="shared" si="33"/>
        <v>50-59</v>
      </c>
      <c r="I746" t="str">
        <f t="shared" si="34"/>
        <v>Overweight</v>
      </c>
      <c r="J746" t="str">
        <f t="shared" si="35"/>
        <v>No</v>
      </c>
    </row>
    <row r="747" spans="1:10" x14ac:dyDescent="0.25">
      <c r="A747">
        <v>50</v>
      </c>
      <c r="B747" t="s">
        <v>7</v>
      </c>
      <c r="C747">
        <v>30.114999999999998</v>
      </c>
      <c r="D747">
        <v>1</v>
      </c>
      <c r="E747" t="s">
        <v>11</v>
      </c>
      <c r="F747" t="s">
        <v>13</v>
      </c>
      <c r="G747">
        <v>9910.3598500000007</v>
      </c>
      <c r="H747" t="str">
        <f t="shared" si="33"/>
        <v>50-59</v>
      </c>
      <c r="I747" t="str">
        <f t="shared" si="34"/>
        <v>Obese</v>
      </c>
      <c r="J747" t="str">
        <f t="shared" si="35"/>
        <v>No</v>
      </c>
    </row>
    <row r="748" spans="1:10" x14ac:dyDescent="0.25">
      <c r="A748">
        <v>34</v>
      </c>
      <c r="B748" t="s">
        <v>10</v>
      </c>
      <c r="C748">
        <v>27</v>
      </c>
      <c r="D748">
        <v>2</v>
      </c>
      <c r="E748" t="s">
        <v>11</v>
      </c>
      <c r="F748" t="s">
        <v>9</v>
      </c>
      <c r="G748">
        <v>11737.848840000001</v>
      </c>
      <c r="H748" t="str">
        <f t="shared" si="33"/>
        <v>30-39</v>
      </c>
      <c r="I748" t="str">
        <f t="shared" si="34"/>
        <v>Overweight</v>
      </c>
      <c r="J748" t="str">
        <f t="shared" si="35"/>
        <v>No</v>
      </c>
    </row>
    <row r="749" spans="1:10" x14ac:dyDescent="0.25">
      <c r="A749">
        <v>19</v>
      </c>
      <c r="B749" t="s">
        <v>10</v>
      </c>
      <c r="C749">
        <v>21.754999999999999</v>
      </c>
      <c r="D749">
        <v>0</v>
      </c>
      <c r="E749" t="s">
        <v>11</v>
      </c>
      <c r="F749" t="s">
        <v>13</v>
      </c>
      <c r="G749">
        <v>1627.2824499999999</v>
      </c>
      <c r="H749" t="str">
        <f t="shared" si="33"/>
        <v>18-29</v>
      </c>
      <c r="I749" t="str">
        <f t="shared" si="34"/>
        <v>Normal</v>
      </c>
      <c r="J749" t="str">
        <f t="shared" si="35"/>
        <v>No</v>
      </c>
    </row>
    <row r="750" spans="1:10" x14ac:dyDescent="0.25">
      <c r="A750">
        <v>47</v>
      </c>
      <c r="B750" t="s">
        <v>7</v>
      </c>
      <c r="C750">
        <v>36</v>
      </c>
      <c r="D750">
        <v>1</v>
      </c>
      <c r="E750" t="s">
        <v>11</v>
      </c>
      <c r="F750" t="s">
        <v>9</v>
      </c>
      <c r="G750">
        <v>8556.9069999999992</v>
      </c>
      <c r="H750" t="str">
        <f t="shared" si="33"/>
        <v>40-49</v>
      </c>
      <c r="I750" t="str">
        <f t="shared" si="34"/>
        <v>Obese</v>
      </c>
      <c r="J750" t="str">
        <f t="shared" si="35"/>
        <v>No</v>
      </c>
    </row>
    <row r="751" spans="1:10" x14ac:dyDescent="0.25">
      <c r="A751">
        <v>28</v>
      </c>
      <c r="B751" t="s">
        <v>10</v>
      </c>
      <c r="C751">
        <v>30.875</v>
      </c>
      <c r="D751">
        <v>0</v>
      </c>
      <c r="E751" t="s">
        <v>11</v>
      </c>
      <c r="F751" t="s">
        <v>13</v>
      </c>
      <c r="G751">
        <v>3062.5082499999999</v>
      </c>
      <c r="H751" t="str">
        <f t="shared" si="33"/>
        <v>18-29</v>
      </c>
      <c r="I751" t="str">
        <f t="shared" si="34"/>
        <v>Obese</v>
      </c>
      <c r="J751" t="str">
        <f t="shared" si="35"/>
        <v>No</v>
      </c>
    </row>
    <row r="752" spans="1:10" x14ac:dyDescent="0.25">
      <c r="A752">
        <v>37</v>
      </c>
      <c r="B752" t="s">
        <v>7</v>
      </c>
      <c r="C752">
        <v>26.4</v>
      </c>
      <c r="D752">
        <v>0</v>
      </c>
      <c r="E752" t="s">
        <v>8</v>
      </c>
      <c r="F752" t="s">
        <v>12</v>
      </c>
      <c r="G752">
        <v>19539.242999999999</v>
      </c>
      <c r="H752" t="str">
        <f t="shared" si="33"/>
        <v>30-39</v>
      </c>
      <c r="I752" t="str">
        <f t="shared" si="34"/>
        <v>Overweight</v>
      </c>
      <c r="J752" t="str">
        <f t="shared" si="35"/>
        <v>No</v>
      </c>
    </row>
    <row r="753" spans="1:10" x14ac:dyDescent="0.25">
      <c r="A753">
        <v>21</v>
      </c>
      <c r="B753" t="s">
        <v>10</v>
      </c>
      <c r="C753">
        <v>28.975000000000001</v>
      </c>
      <c r="D753">
        <v>0</v>
      </c>
      <c r="E753" t="s">
        <v>11</v>
      </c>
      <c r="F753" t="s">
        <v>13</v>
      </c>
      <c r="G753">
        <v>1906.35825</v>
      </c>
      <c r="H753" t="str">
        <f t="shared" si="33"/>
        <v>18-29</v>
      </c>
      <c r="I753" t="str">
        <f t="shared" si="34"/>
        <v>Overweight</v>
      </c>
      <c r="J753" t="str">
        <f t="shared" si="35"/>
        <v>No</v>
      </c>
    </row>
    <row r="754" spans="1:10" x14ac:dyDescent="0.25">
      <c r="A754">
        <v>64</v>
      </c>
      <c r="B754" t="s">
        <v>10</v>
      </c>
      <c r="C754">
        <v>37.905000000000001</v>
      </c>
      <c r="D754">
        <v>0</v>
      </c>
      <c r="E754" t="s">
        <v>11</v>
      </c>
      <c r="F754" t="s">
        <v>13</v>
      </c>
      <c r="G754">
        <v>14210.53595</v>
      </c>
      <c r="H754" t="str">
        <f t="shared" si="33"/>
        <v>60+</v>
      </c>
      <c r="I754" t="str">
        <f t="shared" si="34"/>
        <v>Obese</v>
      </c>
      <c r="J754" t="str">
        <f t="shared" si="35"/>
        <v>No</v>
      </c>
    </row>
    <row r="755" spans="1:10" x14ac:dyDescent="0.25">
      <c r="A755">
        <v>58</v>
      </c>
      <c r="B755" t="s">
        <v>7</v>
      </c>
      <c r="C755">
        <v>22.77</v>
      </c>
      <c r="D755">
        <v>0</v>
      </c>
      <c r="E755" t="s">
        <v>11</v>
      </c>
      <c r="F755" t="s">
        <v>12</v>
      </c>
      <c r="G755">
        <v>11833.782300000001</v>
      </c>
      <c r="H755" t="str">
        <f t="shared" si="33"/>
        <v>50-59</v>
      </c>
      <c r="I755" t="str">
        <f t="shared" si="34"/>
        <v>Normal</v>
      </c>
      <c r="J755" t="str">
        <f t="shared" si="35"/>
        <v>No</v>
      </c>
    </row>
    <row r="756" spans="1:10" x14ac:dyDescent="0.25">
      <c r="A756">
        <v>24</v>
      </c>
      <c r="B756" t="s">
        <v>10</v>
      </c>
      <c r="C756">
        <v>33.630000000000003</v>
      </c>
      <c r="D756">
        <v>4</v>
      </c>
      <c r="E756" t="s">
        <v>11</v>
      </c>
      <c r="F756" t="s">
        <v>14</v>
      </c>
      <c r="G756">
        <v>17128.426080000001</v>
      </c>
      <c r="H756" t="str">
        <f t="shared" si="33"/>
        <v>18-29</v>
      </c>
      <c r="I756" t="str">
        <f t="shared" si="34"/>
        <v>Obese</v>
      </c>
      <c r="J756" t="str">
        <f t="shared" si="35"/>
        <v>No</v>
      </c>
    </row>
    <row r="757" spans="1:10" x14ac:dyDescent="0.25">
      <c r="A757">
        <v>31</v>
      </c>
      <c r="B757" t="s">
        <v>10</v>
      </c>
      <c r="C757">
        <v>27.645</v>
      </c>
      <c r="D757">
        <v>2</v>
      </c>
      <c r="E757" t="s">
        <v>11</v>
      </c>
      <c r="F757" t="s">
        <v>14</v>
      </c>
      <c r="G757">
        <v>5031.26955</v>
      </c>
      <c r="H757" t="str">
        <f t="shared" si="33"/>
        <v>30-39</v>
      </c>
      <c r="I757" t="str">
        <f t="shared" si="34"/>
        <v>Overweight</v>
      </c>
      <c r="J757" t="str">
        <f t="shared" si="35"/>
        <v>No</v>
      </c>
    </row>
    <row r="758" spans="1:10" x14ac:dyDescent="0.25">
      <c r="A758">
        <v>39</v>
      </c>
      <c r="B758" t="s">
        <v>7</v>
      </c>
      <c r="C758">
        <v>22.8</v>
      </c>
      <c r="D758">
        <v>3</v>
      </c>
      <c r="E758" t="s">
        <v>11</v>
      </c>
      <c r="F758" t="s">
        <v>14</v>
      </c>
      <c r="G758">
        <v>7985.8149999999996</v>
      </c>
      <c r="H758" t="str">
        <f t="shared" si="33"/>
        <v>30-39</v>
      </c>
      <c r="I758" t="str">
        <f t="shared" si="34"/>
        <v>Normal</v>
      </c>
      <c r="J758" t="str">
        <f t="shared" si="35"/>
        <v>No</v>
      </c>
    </row>
    <row r="759" spans="1:10" x14ac:dyDescent="0.25">
      <c r="A759">
        <v>47</v>
      </c>
      <c r="B759" t="s">
        <v>7</v>
      </c>
      <c r="C759">
        <v>27.83</v>
      </c>
      <c r="D759">
        <v>0</v>
      </c>
      <c r="E759" t="s">
        <v>8</v>
      </c>
      <c r="F759" t="s">
        <v>12</v>
      </c>
      <c r="G759">
        <v>23065.420699999999</v>
      </c>
      <c r="H759" t="str">
        <f t="shared" si="33"/>
        <v>40-49</v>
      </c>
      <c r="I759" t="str">
        <f t="shared" si="34"/>
        <v>Overweight</v>
      </c>
      <c r="J759" t="str">
        <f t="shared" si="35"/>
        <v>Yes</v>
      </c>
    </row>
    <row r="760" spans="1:10" x14ac:dyDescent="0.25">
      <c r="A760">
        <v>30</v>
      </c>
      <c r="B760" t="s">
        <v>10</v>
      </c>
      <c r="C760">
        <v>37.43</v>
      </c>
      <c r="D760">
        <v>3</v>
      </c>
      <c r="E760" t="s">
        <v>11</v>
      </c>
      <c r="F760" t="s">
        <v>14</v>
      </c>
      <c r="G760">
        <v>5428.7277000000004</v>
      </c>
      <c r="H760" t="str">
        <f t="shared" si="33"/>
        <v>30-39</v>
      </c>
      <c r="I760" t="str">
        <f t="shared" si="34"/>
        <v>Obese</v>
      </c>
      <c r="J760" t="str">
        <f t="shared" si="35"/>
        <v>No</v>
      </c>
    </row>
    <row r="761" spans="1:10" x14ac:dyDescent="0.25">
      <c r="A761">
        <v>18</v>
      </c>
      <c r="B761" t="s">
        <v>10</v>
      </c>
      <c r="C761">
        <v>38.17</v>
      </c>
      <c r="D761">
        <v>0</v>
      </c>
      <c r="E761" t="s">
        <v>8</v>
      </c>
      <c r="F761" t="s">
        <v>12</v>
      </c>
      <c r="G761">
        <v>36307.798300000002</v>
      </c>
      <c r="H761" t="str">
        <f t="shared" si="33"/>
        <v>18-29</v>
      </c>
      <c r="I761" t="str">
        <f t="shared" si="34"/>
        <v>Obese</v>
      </c>
      <c r="J761" t="str">
        <f t="shared" si="35"/>
        <v>Yes</v>
      </c>
    </row>
    <row r="762" spans="1:10" x14ac:dyDescent="0.25">
      <c r="A762">
        <v>22</v>
      </c>
      <c r="B762" t="s">
        <v>7</v>
      </c>
      <c r="C762">
        <v>34.58</v>
      </c>
      <c r="D762">
        <v>2</v>
      </c>
      <c r="E762" t="s">
        <v>11</v>
      </c>
      <c r="F762" t="s">
        <v>14</v>
      </c>
      <c r="G762">
        <v>3925.7582000000002</v>
      </c>
      <c r="H762" t="str">
        <f t="shared" si="33"/>
        <v>18-29</v>
      </c>
      <c r="I762" t="str">
        <f t="shared" si="34"/>
        <v>Obese</v>
      </c>
      <c r="J762" t="str">
        <f t="shared" si="35"/>
        <v>No</v>
      </c>
    </row>
    <row r="763" spans="1:10" x14ac:dyDescent="0.25">
      <c r="A763">
        <v>23</v>
      </c>
      <c r="B763" t="s">
        <v>10</v>
      </c>
      <c r="C763">
        <v>35.200000000000003</v>
      </c>
      <c r="D763">
        <v>1</v>
      </c>
      <c r="E763" t="s">
        <v>11</v>
      </c>
      <c r="F763" t="s">
        <v>9</v>
      </c>
      <c r="G763">
        <v>2416.9549999999999</v>
      </c>
      <c r="H763" t="str">
        <f t="shared" si="33"/>
        <v>18-29</v>
      </c>
      <c r="I763" t="str">
        <f t="shared" si="34"/>
        <v>Obese</v>
      </c>
      <c r="J763" t="str">
        <f t="shared" si="35"/>
        <v>No</v>
      </c>
    </row>
    <row r="764" spans="1:10" x14ac:dyDescent="0.25">
      <c r="A764">
        <v>33</v>
      </c>
      <c r="B764" t="s">
        <v>10</v>
      </c>
      <c r="C764">
        <v>27.1</v>
      </c>
      <c r="D764">
        <v>1</v>
      </c>
      <c r="E764" t="s">
        <v>8</v>
      </c>
      <c r="F764" t="s">
        <v>9</v>
      </c>
      <c r="G764">
        <v>19040.876</v>
      </c>
      <c r="H764" t="str">
        <f t="shared" si="33"/>
        <v>30-39</v>
      </c>
      <c r="I764" t="str">
        <f t="shared" si="34"/>
        <v>Overweight</v>
      </c>
      <c r="J764" t="str">
        <f t="shared" si="35"/>
        <v>No</v>
      </c>
    </row>
    <row r="765" spans="1:10" x14ac:dyDescent="0.25">
      <c r="A765">
        <v>27</v>
      </c>
      <c r="B765" t="s">
        <v>10</v>
      </c>
      <c r="C765">
        <v>26.03</v>
      </c>
      <c r="D765">
        <v>0</v>
      </c>
      <c r="E765" t="s">
        <v>11</v>
      </c>
      <c r="F765" t="s">
        <v>14</v>
      </c>
      <c r="G765">
        <v>3070.8087</v>
      </c>
      <c r="H765" t="str">
        <f t="shared" si="33"/>
        <v>18-29</v>
      </c>
      <c r="I765" t="str">
        <f t="shared" si="34"/>
        <v>Overweight</v>
      </c>
      <c r="J765" t="str">
        <f t="shared" si="35"/>
        <v>No</v>
      </c>
    </row>
    <row r="766" spans="1:10" x14ac:dyDescent="0.25">
      <c r="A766">
        <v>45</v>
      </c>
      <c r="B766" t="s">
        <v>7</v>
      </c>
      <c r="C766">
        <v>25.175000000000001</v>
      </c>
      <c r="D766">
        <v>2</v>
      </c>
      <c r="E766" t="s">
        <v>11</v>
      </c>
      <c r="F766" t="s">
        <v>14</v>
      </c>
      <c r="G766">
        <v>9095.0682500000003</v>
      </c>
      <c r="H766" t="str">
        <f t="shared" si="33"/>
        <v>40-49</v>
      </c>
      <c r="I766" t="str">
        <f t="shared" si="34"/>
        <v>Overweight</v>
      </c>
      <c r="J766" t="str">
        <f t="shared" si="35"/>
        <v>No</v>
      </c>
    </row>
    <row r="767" spans="1:10" x14ac:dyDescent="0.25">
      <c r="A767">
        <v>57</v>
      </c>
      <c r="B767" t="s">
        <v>7</v>
      </c>
      <c r="C767">
        <v>31.824999999999999</v>
      </c>
      <c r="D767">
        <v>0</v>
      </c>
      <c r="E767" t="s">
        <v>11</v>
      </c>
      <c r="F767" t="s">
        <v>13</v>
      </c>
      <c r="G767">
        <v>11842.623750000001</v>
      </c>
      <c r="H767" t="str">
        <f t="shared" si="33"/>
        <v>50-59</v>
      </c>
      <c r="I767" t="str">
        <f t="shared" si="34"/>
        <v>Obese</v>
      </c>
      <c r="J767" t="str">
        <f t="shared" si="35"/>
        <v>No</v>
      </c>
    </row>
    <row r="768" spans="1:10" x14ac:dyDescent="0.25">
      <c r="A768">
        <v>47</v>
      </c>
      <c r="B768" t="s">
        <v>10</v>
      </c>
      <c r="C768">
        <v>32.299999999999997</v>
      </c>
      <c r="D768">
        <v>1</v>
      </c>
      <c r="E768" t="s">
        <v>11</v>
      </c>
      <c r="F768" t="s">
        <v>9</v>
      </c>
      <c r="G768">
        <v>8062.7640000000001</v>
      </c>
      <c r="H768" t="str">
        <f t="shared" si="33"/>
        <v>40-49</v>
      </c>
      <c r="I768" t="str">
        <f t="shared" si="34"/>
        <v>Obese</v>
      </c>
      <c r="J768" t="str">
        <f t="shared" si="35"/>
        <v>No</v>
      </c>
    </row>
    <row r="769" spans="1:10" x14ac:dyDescent="0.25">
      <c r="A769">
        <v>42</v>
      </c>
      <c r="B769" t="s">
        <v>7</v>
      </c>
      <c r="C769">
        <v>29</v>
      </c>
      <c r="D769">
        <v>1</v>
      </c>
      <c r="E769" t="s">
        <v>11</v>
      </c>
      <c r="F769" t="s">
        <v>9</v>
      </c>
      <c r="G769">
        <v>7050.6419999999998</v>
      </c>
      <c r="H769" t="str">
        <f t="shared" si="33"/>
        <v>40-49</v>
      </c>
      <c r="I769" t="str">
        <f t="shared" si="34"/>
        <v>Overweight</v>
      </c>
      <c r="J769" t="str">
        <f t="shared" si="35"/>
        <v>No</v>
      </c>
    </row>
    <row r="770" spans="1:10" x14ac:dyDescent="0.25">
      <c r="A770">
        <v>64</v>
      </c>
      <c r="B770" t="s">
        <v>7</v>
      </c>
      <c r="C770">
        <v>39.700000000000003</v>
      </c>
      <c r="D770">
        <v>0</v>
      </c>
      <c r="E770" t="s">
        <v>11</v>
      </c>
      <c r="F770" t="s">
        <v>9</v>
      </c>
      <c r="G770">
        <v>14319.031000000001</v>
      </c>
      <c r="H770" t="str">
        <f t="shared" ref="H770:H833" si="36">IF(A770&lt;30, "18-29", IF(A770&lt;40, "30-39", IF(A770&lt;50, "40-49", IF(A770&lt;60, "50-59", "60+"))))</f>
        <v>60+</v>
      </c>
      <c r="I770" t="str">
        <f t="shared" ref="I770:I833" si="37">IF(C770&lt;18.5, "Underweight", IF(C770&lt;25, "Normal", IF(C770&lt;30,"Overweight","Obese")))</f>
        <v>Obese</v>
      </c>
      <c r="J770" t="str">
        <f t="shared" ref="J770:J833" si="38">IF(G770&gt;20000,"Yes","No")</f>
        <v>No</v>
      </c>
    </row>
    <row r="771" spans="1:10" x14ac:dyDescent="0.25">
      <c r="A771">
        <v>38</v>
      </c>
      <c r="B771" t="s">
        <v>7</v>
      </c>
      <c r="C771">
        <v>19.475000000000001</v>
      </c>
      <c r="D771">
        <v>2</v>
      </c>
      <c r="E771" t="s">
        <v>11</v>
      </c>
      <c r="F771" t="s">
        <v>13</v>
      </c>
      <c r="G771">
        <v>6933.2422500000002</v>
      </c>
      <c r="H771" t="str">
        <f t="shared" si="36"/>
        <v>30-39</v>
      </c>
      <c r="I771" t="str">
        <f t="shared" si="37"/>
        <v>Normal</v>
      </c>
      <c r="J771" t="str">
        <f t="shared" si="38"/>
        <v>No</v>
      </c>
    </row>
    <row r="772" spans="1:10" x14ac:dyDescent="0.25">
      <c r="A772">
        <v>61</v>
      </c>
      <c r="B772" t="s">
        <v>10</v>
      </c>
      <c r="C772">
        <v>36.1</v>
      </c>
      <c r="D772">
        <v>3</v>
      </c>
      <c r="E772" t="s">
        <v>11</v>
      </c>
      <c r="F772" t="s">
        <v>9</v>
      </c>
      <c r="G772">
        <v>27941.28758</v>
      </c>
      <c r="H772" t="str">
        <f t="shared" si="36"/>
        <v>60+</v>
      </c>
      <c r="I772" t="str">
        <f t="shared" si="37"/>
        <v>Obese</v>
      </c>
      <c r="J772" t="str">
        <f t="shared" si="38"/>
        <v>Yes</v>
      </c>
    </row>
    <row r="773" spans="1:10" x14ac:dyDescent="0.25">
      <c r="A773">
        <v>53</v>
      </c>
      <c r="B773" t="s">
        <v>7</v>
      </c>
      <c r="C773">
        <v>26.7</v>
      </c>
      <c r="D773">
        <v>2</v>
      </c>
      <c r="E773" t="s">
        <v>11</v>
      </c>
      <c r="F773" t="s">
        <v>9</v>
      </c>
      <c r="G773">
        <v>11150.78</v>
      </c>
      <c r="H773" t="str">
        <f t="shared" si="36"/>
        <v>50-59</v>
      </c>
      <c r="I773" t="str">
        <f t="shared" si="37"/>
        <v>Overweight</v>
      </c>
      <c r="J773" t="str">
        <f t="shared" si="38"/>
        <v>No</v>
      </c>
    </row>
    <row r="774" spans="1:10" x14ac:dyDescent="0.25">
      <c r="A774">
        <v>44</v>
      </c>
      <c r="B774" t="s">
        <v>7</v>
      </c>
      <c r="C774">
        <v>36.479999999999997</v>
      </c>
      <c r="D774">
        <v>0</v>
      </c>
      <c r="E774" t="s">
        <v>11</v>
      </c>
      <c r="F774" t="s">
        <v>14</v>
      </c>
      <c r="G774">
        <v>12797.20962</v>
      </c>
      <c r="H774" t="str">
        <f t="shared" si="36"/>
        <v>40-49</v>
      </c>
      <c r="I774" t="str">
        <f t="shared" si="37"/>
        <v>Obese</v>
      </c>
      <c r="J774" t="str">
        <f t="shared" si="38"/>
        <v>No</v>
      </c>
    </row>
    <row r="775" spans="1:10" x14ac:dyDescent="0.25">
      <c r="A775">
        <v>19</v>
      </c>
      <c r="B775" t="s">
        <v>7</v>
      </c>
      <c r="C775">
        <v>28.88</v>
      </c>
      <c r="D775">
        <v>0</v>
      </c>
      <c r="E775" t="s">
        <v>8</v>
      </c>
      <c r="F775" t="s">
        <v>13</v>
      </c>
      <c r="G775">
        <v>17748.5062</v>
      </c>
      <c r="H775" t="str">
        <f t="shared" si="36"/>
        <v>18-29</v>
      </c>
      <c r="I775" t="str">
        <f t="shared" si="37"/>
        <v>Overweight</v>
      </c>
      <c r="J775" t="str">
        <f t="shared" si="38"/>
        <v>No</v>
      </c>
    </row>
    <row r="776" spans="1:10" x14ac:dyDescent="0.25">
      <c r="A776">
        <v>41</v>
      </c>
      <c r="B776" t="s">
        <v>10</v>
      </c>
      <c r="C776">
        <v>34.200000000000003</v>
      </c>
      <c r="D776">
        <v>2</v>
      </c>
      <c r="E776" t="s">
        <v>11</v>
      </c>
      <c r="F776" t="s">
        <v>13</v>
      </c>
      <c r="G776">
        <v>7261.741</v>
      </c>
      <c r="H776" t="str">
        <f t="shared" si="36"/>
        <v>40-49</v>
      </c>
      <c r="I776" t="str">
        <f t="shared" si="37"/>
        <v>Obese</v>
      </c>
      <c r="J776" t="str">
        <f t="shared" si="38"/>
        <v>No</v>
      </c>
    </row>
    <row r="777" spans="1:10" x14ac:dyDescent="0.25">
      <c r="A777">
        <v>51</v>
      </c>
      <c r="B777" t="s">
        <v>10</v>
      </c>
      <c r="C777">
        <v>33.33</v>
      </c>
      <c r="D777">
        <v>3</v>
      </c>
      <c r="E777" t="s">
        <v>11</v>
      </c>
      <c r="F777" t="s">
        <v>12</v>
      </c>
      <c r="G777">
        <v>10560.4917</v>
      </c>
      <c r="H777" t="str">
        <f t="shared" si="36"/>
        <v>50-59</v>
      </c>
      <c r="I777" t="str">
        <f t="shared" si="37"/>
        <v>Obese</v>
      </c>
      <c r="J777" t="str">
        <f t="shared" si="38"/>
        <v>No</v>
      </c>
    </row>
    <row r="778" spans="1:10" x14ac:dyDescent="0.25">
      <c r="A778">
        <v>40</v>
      </c>
      <c r="B778" t="s">
        <v>10</v>
      </c>
      <c r="C778">
        <v>32.299999999999997</v>
      </c>
      <c r="D778">
        <v>2</v>
      </c>
      <c r="E778" t="s">
        <v>11</v>
      </c>
      <c r="F778" t="s">
        <v>13</v>
      </c>
      <c r="G778">
        <v>6986.6970000000001</v>
      </c>
      <c r="H778" t="str">
        <f t="shared" si="36"/>
        <v>40-49</v>
      </c>
      <c r="I778" t="str">
        <f t="shared" si="37"/>
        <v>Obese</v>
      </c>
      <c r="J778" t="str">
        <f t="shared" si="38"/>
        <v>No</v>
      </c>
    </row>
    <row r="779" spans="1:10" x14ac:dyDescent="0.25">
      <c r="A779">
        <v>45</v>
      </c>
      <c r="B779" t="s">
        <v>10</v>
      </c>
      <c r="C779">
        <v>39.805</v>
      </c>
      <c r="D779">
        <v>0</v>
      </c>
      <c r="E779" t="s">
        <v>11</v>
      </c>
      <c r="F779" t="s">
        <v>14</v>
      </c>
      <c r="G779">
        <v>7448.4039499999999</v>
      </c>
      <c r="H779" t="str">
        <f t="shared" si="36"/>
        <v>40-49</v>
      </c>
      <c r="I779" t="str">
        <f t="shared" si="37"/>
        <v>Obese</v>
      </c>
      <c r="J779" t="str">
        <f t="shared" si="38"/>
        <v>No</v>
      </c>
    </row>
    <row r="780" spans="1:10" x14ac:dyDescent="0.25">
      <c r="A780">
        <v>35</v>
      </c>
      <c r="B780" t="s">
        <v>10</v>
      </c>
      <c r="C780">
        <v>34.32</v>
      </c>
      <c r="D780">
        <v>3</v>
      </c>
      <c r="E780" t="s">
        <v>11</v>
      </c>
      <c r="F780" t="s">
        <v>12</v>
      </c>
      <c r="G780">
        <v>5934.3797999999997</v>
      </c>
      <c r="H780" t="str">
        <f t="shared" si="36"/>
        <v>30-39</v>
      </c>
      <c r="I780" t="str">
        <f t="shared" si="37"/>
        <v>Obese</v>
      </c>
      <c r="J780" t="str">
        <f t="shared" si="38"/>
        <v>No</v>
      </c>
    </row>
    <row r="781" spans="1:10" x14ac:dyDescent="0.25">
      <c r="A781">
        <v>53</v>
      </c>
      <c r="B781" t="s">
        <v>10</v>
      </c>
      <c r="C781">
        <v>28.88</v>
      </c>
      <c r="D781">
        <v>0</v>
      </c>
      <c r="E781" t="s">
        <v>11</v>
      </c>
      <c r="F781" t="s">
        <v>13</v>
      </c>
      <c r="G781">
        <v>9869.8101999999999</v>
      </c>
      <c r="H781" t="str">
        <f t="shared" si="36"/>
        <v>50-59</v>
      </c>
      <c r="I781" t="str">
        <f t="shared" si="37"/>
        <v>Overweight</v>
      </c>
      <c r="J781" t="str">
        <f t="shared" si="38"/>
        <v>No</v>
      </c>
    </row>
    <row r="782" spans="1:10" x14ac:dyDescent="0.25">
      <c r="A782">
        <v>30</v>
      </c>
      <c r="B782" t="s">
        <v>10</v>
      </c>
      <c r="C782">
        <v>24.4</v>
      </c>
      <c r="D782">
        <v>3</v>
      </c>
      <c r="E782" t="s">
        <v>8</v>
      </c>
      <c r="F782" t="s">
        <v>9</v>
      </c>
      <c r="G782">
        <v>18259.216</v>
      </c>
      <c r="H782" t="str">
        <f t="shared" si="36"/>
        <v>30-39</v>
      </c>
      <c r="I782" t="str">
        <f t="shared" si="37"/>
        <v>Normal</v>
      </c>
      <c r="J782" t="str">
        <f t="shared" si="38"/>
        <v>No</v>
      </c>
    </row>
    <row r="783" spans="1:10" x14ac:dyDescent="0.25">
      <c r="A783">
        <v>18</v>
      </c>
      <c r="B783" t="s">
        <v>10</v>
      </c>
      <c r="C783">
        <v>41.14</v>
      </c>
      <c r="D783">
        <v>0</v>
      </c>
      <c r="E783" t="s">
        <v>11</v>
      </c>
      <c r="F783" t="s">
        <v>12</v>
      </c>
      <c r="G783">
        <v>1146.7965999999999</v>
      </c>
      <c r="H783" t="str">
        <f t="shared" si="36"/>
        <v>18-29</v>
      </c>
      <c r="I783" t="str">
        <f t="shared" si="37"/>
        <v>Obese</v>
      </c>
      <c r="J783" t="str">
        <f t="shared" si="38"/>
        <v>No</v>
      </c>
    </row>
    <row r="784" spans="1:10" x14ac:dyDescent="0.25">
      <c r="A784">
        <v>51</v>
      </c>
      <c r="B784" t="s">
        <v>10</v>
      </c>
      <c r="C784">
        <v>35.97</v>
      </c>
      <c r="D784">
        <v>1</v>
      </c>
      <c r="E784" t="s">
        <v>11</v>
      </c>
      <c r="F784" t="s">
        <v>12</v>
      </c>
      <c r="G784">
        <v>9386.1612999999998</v>
      </c>
      <c r="H784" t="str">
        <f t="shared" si="36"/>
        <v>50-59</v>
      </c>
      <c r="I784" t="str">
        <f t="shared" si="37"/>
        <v>Obese</v>
      </c>
      <c r="J784" t="str">
        <f t="shared" si="38"/>
        <v>No</v>
      </c>
    </row>
    <row r="785" spans="1:10" x14ac:dyDescent="0.25">
      <c r="A785">
        <v>50</v>
      </c>
      <c r="B785" t="s">
        <v>7</v>
      </c>
      <c r="C785">
        <v>27.6</v>
      </c>
      <c r="D785">
        <v>1</v>
      </c>
      <c r="E785" t="s">
        <v>8</v>
      </c>
      <c r="F785" t="s">
        <v>9</v>
      </c>
      <c r="G785">
        <v>24520.263999999999</v>
      </c>
      <c r="H785" t="str">
        <f t="shared" si="36"/>
        <v>50-59</v>
      </c>
      <c r="I785" t="str">
        <f t="shared" si="37"/>
        <v>Overweight</v>
      </c>
      <c r="J785" t="str">
        <f t="shared" si="38"/>
        <v>Yes</v>
      </c>
    </row>
    <row r="786" spans="1:10" x14ac:dyDescent="0.25">
      <c r="A786">
        <v>31</v>
      </c>
      <c r="B786" t="s">
        <v>7</v>
      </c>
      <c r="C786">
        <v>29.26</v>
      </c>
      <c r="D786">
        <v>1</v>
      </c>
      <c r="E786" t="s">
        <v>11</v>
      </c>
      <c r="F786" t="s">
        <v>12</v>
      </c>
      <c r="G786">
        <v>4350.5144</v>
      </c>
      <c r="H786" t="str">
        <f t="shared" si="36"/>
        <v>30-39</v>
      </c>
      <c r="I786" t="str">
        <f t="shared" si="37"/>
        <v>Overweight</v>
      </c>
      <c r="J786" t="str">
        <f t="shared" si="38"/>
        <v>No</v>
      </c>
    </row>
    <row r="787" spans="1:10" x14ac:dyDescent="0.25">
      <c r="A787">
        <v>35</v>
      </c>
      <c r="B787" t="s">
        <v>7</v>
      </c>
      <c r="C787">
        <v>27.7</v>
      </c>
      <c r="D787">
        <v>3</v>
      </c>
      <c r="E787" t="s">
        <v>11</v>
      </c>
      <c r="F787" t="s">
        <v>9</v>
      </c>
      <c r="G787">
        <v>6414.1779999999999</v>
      </c>
      <c r="H787" t="str">
        <f t="shared" si="36"/>
        <v>30-39</v>
      </c>
      <c r="I787" t="str">
        <f t="shared" si="37"/>
        <v>Overweight</v>
      </c>
      <c r="J787" t="str">
        <f t="shared" si="38"/>
        <v>No</v>
      </c>
    </row>
    <row r="788" spans="1:10" x14ac:dyDescent="0.25">
      <c r="A788">
        <v>60</v>
      </c>
      <c r="B788" t="s">
        <v>10</v>
      </c>
      <c r="C788">
        <v>36.954999999999998</v>
      </c>
      <c r="D788">
        <v>0</v>
      </c>
      <c r="E788" t="s">
        <v>11</v>
      </c>
      <c r="F788" t="s">
        <v>14</v>
      </c>
      <c r="G788">
        <v>12741.167450000001</v>
      </c>
      <c r="H788" t="str">
        <f t="shared" si="36"/>
        <v>60+</v>
      </c>
      <c r="I788" t="str">
        <f t="shared" si="37"/>
        <v>Obese</v>
      </c>
      <c r="J788" t="str">
        <f t="shared" si="38"/>
        <v>No</v>
      </c>
    </row>
    <row r="789" spans="1:10" x14ac:dyDescent="0.25">
      <c r="A789">
        <v>21</v>
      </c>
      <c r="B789" t="s">
        <v>10</v>
      </c>
      <c r="C789">
        <v>36.86</v>
      </c>
      <c r="D789">
        <v>0</v>
      </c>
      <c r="E789" t="s">
        <v>11</v>
      </c>
      <c r="F789" t="s">
        <v>13</v>
      </c>
      <c r="G789">
        <v>1917.3184000000001</v>
      </c>
      <c r="H789" t="str">
        <f t="shared" si="36"/>
        <v>18-29</v>
      </c>
      <c r="I789" t="str">
        <f t="shared" si="37"/>
        <v>Obese</v>
      </c>
      <c r="J789" t="str">
        <f t="shared" si="38"/>
        <v>No</v>
      </c>
    </row>
    <row r="790" spans="1:10" x14ac:dyDescent="0.25">
      <c r="A790">
        <v>29</v>
      </c>
      <c r="B790" t="s">
        <v>10</v>
      </c>
      <c r="C790">
        <v>22.515000000000001</v>
      </c>
      <c r="D790">
        <v>3</v>
      </c>
      <c r="E790" t="s">
        <v>11</v>
      </c>
      <c r="F790" t="s">
        <v>14</v>
      </c>
      <c r="G790">
        <v>5209.5788499999999</v>
      </c>
      <c r="H790" t="str">
        <f t="shared" si="36"/>
        <v>18-29</v>
      </c>
      <c r="I790" t="str">
        <f t="shared" si="37"/>
        <v>Normal</v>
      </c>
      <c r="J790" t="str">
        <f t="shared" si="38"/>
        <v>No</v>
      </c>
    </row>
    <row r="791" spans="1:10" x14ac:dyDescent="0.25">
      <c r="A791">
        <v>62</v>
      </c>
      <c r="B791" t="s">
        <v>7</v>
      </c>
      <c r="C791">
        <v>29.92</v>
      </c>
      <c r="D791">
        <v>0</v>
      </c>
      <c r="E791" t="s">
        <v>11</v>
      </c>
      <c r="F791" t="s">
        <v>12</v>
      </c>
      <c r="G791">
        <v>13457.960800000001</v>
      </c>
      <c r="H791" t="str">
        <f t="shared" si="36"/>
        <v>60+</v>
      </c>
      <c r="I791" t="str">
        <f t="shared" si="37"/>
        <v>Overweight</v>
      </c>
      <c r="J791" t="str">
        <f t="shared" si="38"/>
        <v>No</v>
      </c>
    </row>
    <row r="792" spans="1:10" x14ac:dyDescent="0.25">
      <c r="A792">
        <v>39</v>
      </c>
      <c r="B792" t="s">
        <v>7</v>
      </c>
      <c r="C792">
        <v>41.8</v>
      </c>
      <c r="D792">
        <v>0</v>
      </c>
      <c r="E792" t="s">
        <v>11</v>
      </c>
      <c r="F792" t="s">
        <v>12</v>
      </c>
      <c r="G792">
        <v>5662.2250000000004</v>
      </c>
      <c r="H792" t="str">
        <f t="shared" si="36"/>
        <v>30-39</v>
      </c>
      <c r="I792" t="str">
        <f t="shared" si="37"/>
        <v>Obese</v>
      </c>
      <c r="J792" t="str">
        <f t="shared" si="38"/>
        <v>No</v>
      </c>
    </row>
    <row r="793" spans="1:10" x14ac:dyDescent="0.25">
      <c r="A793">
        <v>19</v>
      </c>
      <c r="B793" t="s">
        <v>10</v>
      </c>
      <c r="C793">
        <v>27.6</v>
      </c>
      <c r="D793">
        <v>0</v>
      </c>
      <c r="E793" t="s">
        <v>11</v>
      </c>
      <c r="F793" t="s">
        <v>9</v>
      </c>
      <c r="G793">
        <v>1252.4069999999999</v>
      </c>
      <c r="H793" t="str">
        <f t="shared" si="36"/>
        <v>18-29</v>
      </c>
      <c r="I793" t="str">
        <f t="shared" si="37"/>
        <v>Overweight</v>
      </c>
      <c r="J793" t="str">
        <f t="shared" si="38"/>
        <v>No</v>
      </c>
    </row>
    <row r="794" spans="1:10" x14ac:dyDescent="0.25">
      <c r="A794">
        <v>22</v>
      </c>
      <c r="B794" t="s">
        <v>7</v>
      </c>
      <c r="C794">
        <v>23.18</v>
      </c>
      <c r="D794">
        <v>0</v>
      </c>
      <c r="E794" t="s">
        <v>11</v>
      </c>
      <c r="F794" t="s">
        <v>14</v>
      </c>
      <c r="G794">
        <v>2731.9122000000002</v>
      </c>
      <c r="H794" t="str">
        <f t="shared" si="36"/>
        <v>18-29</v>
      </c>
      <c r="I794" t="str">
        <f t="shared" si="37"/>
        <v>Normal</v>
      </c>
      <c r="J794" t="str">
        <f t="shared" si="38"/>
        <v>No</v>
      </c>
    </row>
    <row r="795" spans="1:10" x14ac:dyDescent="0.25">
      <c r="A795">
        <v>53</v>
      </c>
      <c r="B795" t="s">
        <v>10</v>
      </c>
      <c r="C795">
        <v>20.9</v>
      </c>
      <c r="D795">
        <v>0</v>
      </c>
      <c r="E795" t="s">
        <v>8</v>
      </c>
      <c r="F795" t="s">
        <v>12</v>
      </c>
      <c r="G795">
        <v>21195.817999999999</v>
      </c>
      <c r="H795" t="str">
        <f t="shared" si="36"/>
        <v>50-59</v>
      </c>
      <c r="I795" t="str">
        <f t="shared" si="37"/>
        <v>Normal</v>
      </c>
      <c r="J795" t="str">
        <f t="shared" si="38"/>
        <v>Yes</v>
      </c>
    </row>
    <row r="796" spans="1:10" x14ac:dyDescent="0.25">
      <c r="A796">
        <v>39</v>
      </c>
      <c r="B796" t="s">
        <v>7</v>
      </c>
      <c r="C796">
        <v>31.92</v>
      </c>
      <c r="D796">
        <v>2</v>
      </c>
      <c r="E796" t="s">
        <v>11</v>
      </c>
      <c r="F796" t="s">
        <v>13</v>
      </c>
      <c r="G796">
        <v>7209.4917999999998</v>
      </c>
      <c r="H796" t="str">
        <f t="shared" si="36"/>
        <v>30-39</v>
      </c>
      <c r="I796" t="str">
        <f t="shared" si="37"/>
        <v>Obese</v>
      </c>
      <c r="J796" t="str">
        <f t="shared" si="38"/>
        <v>No</v>
      </c>
    </row>
    <row r="797" spans="1:10" x14ac:dyDescent="0.25">
      <c r="A797">
        <v>27</v>
      </c>
      <c r="B797" t="s">
        <v>10</v>
      </c>
      <c r="C797">
        <v>28.5</v>
      </c>
      <c r="D797">
        <v>0</v>
      </c>
      <c r="E797" t="s">
        <v>8</v>
      </c>
      <c r="F797" t="s">
        <v>13</v>
      </c>
      <c r="G797">
        <v>18310.741999999998</v>
      </c>
      <c r="H797" t="str">
        <f t="shared" si="36"/>
        <v>18-29</v>
      </c>
      <c r="I797" t="str">
        <f t="shared" si="37"/>
        <v>Overweight</v>
      </c>
      <c r="J797" t="str">
        <f t="shared" si="38"/>
        <v>No</v>
      </c>
    </row>
    <row r="798" spans="1:10" x14ac:dyDescent="0.25">
      <c r="A798">
        <v>30</v>
      </c>
      <c r="B798" t="s">
        <v>10</v>
      </c>
      <c r="C798">
        <v>44.22</v>
      </c>
      <c r="D798">
        <v>2</v>
      </c>
      <c r="E798" t="s">
        <v>11</v>
      </c>
      <c r="F798" t="s">
        <v>12</v>
      </c>
      <c r="G798">
        <v>4266.1657999999998</v>
      </c>
      <c r="H798" t="str">
        <f t="shared" si="36"/>
        <v>30-39</v>
      </c>
      <c r="I798" t="str">
        <f t="shared" si="37"/>
        <v>Obese</v>
      </c>
      <c r="J798" t="str">
        <f t="shared" si="38"/>
        <v>No</v>
      </c>
    </row>
    <row r="799" spans="1:10" x14ac:dyDescent="0.25">
      <c r="A799">
        <v>30</v>
      </c>
      <c r="B799" t="s">
        <v>7</v>
      </c>
      <c r="C799">
        <v>22.895</v>
      </c>
      <c r="D799">
        <v>1</v>
      </c>
      <c r="E799" t="s">
        <v>11</v>
      </c>
      <c r="F799" t="s">
        <v>14</v>
      </c>
      <c r="G799">
        <v>4719.52405</v>
      </c>
      <c r="H799" t="str">
        <f t="shared" si="36"/>
        <v>30-39</v>
      </c>
      <c r="I799" t="str">
        <f t="shared" si="37"/>
        <v>Normal</v>
      </c>
      <c r="J799" t="str">
        <f t="shared" si="38"/>
        <v>No</v>
      </c>
    </row>
    <row r="800" spans="1:10" x14ac:dyDescent="0.25">
      <c r="A800">
        <v>58</v>
      </c>
      <c r="B800" t="s">
        <v>7</v>
      </c>
      <c r="C800">
        <v>33.1</v>
      </c>
      <c r="D800">
        <v>0</v>
      </c>
      <c r="E800" t="s">
        <v>11</v>
      </c>
      <c r="F800" t="s">
        <v>9</v>
      </c>
      <c r="G800">
        <v>11848.141</v>
      </c>
      <c r="H800" t="str">
        <f t="shared" si="36"/>
        <v>50-59</v>
      </c>
      <c r="I800" t="str">
        <f t="shared" si="37"/>
        <v>Obese</v>
      </c>
      <c r="J800" t="str">
        <f t="shared" si="38"/>
        <v>No</v>
      </c>
    </row>
    <row r="801" spans="1:10" x14ac:dyDescent="0.25">
      <c r="A801">
        <v>33</v>
      </c>
      <c r="B801" t="s">
        <v>10</v>
      </c>
      <c r="C801">
        <v>24.795000000000002</v>
      </c>
      <c r="D801">
        <v>0</v>
      </c>
      <c r="E801" t="s">
        <v>8</v>
      </c>
      <c r="F801" t="s">
        <v>14</v>
      </c>
      <c r="G801">
        <v>17904.527050000001</v>
      </c>
      <c r="H801" t="str">
        <f t="shared" si="36"/>
        <v>30-39</v>
      </c>
      <c r="I801" t="str">
        <f t="shared" si="37"/>
        <v>Normal</v>
      </c>
      <c r="J801" t="str">
        <f t="shared" si="38"/>
        <v>No</v>
      </c>
    </row>
    <row r="802" spans="1:10" x14ac:dyDescent="0.25">
      <c r="A802">
        <v>42</v>
      </c>
      <c r="B802" t="s">
        <v>7</v>
      </c>
      <c r="C802">
        <v>26.18</v>
      </c>
      <c r="D802">
        <v>1</v>
      </c>
      <c r="E802" t="s">
        <v>11</v>
      </c>
      <c r="F802" t="s">
        <v>12</v>
      </c>
      <c r="G802">
        <v>7046.7222000000002</v>
      </c>
      <c r="H802" t="str">
        <f t="shared" si="36"/>
        <v>40-49</v>
      </c>
      <c r="I802" t="str">
        <f t="shared" si="37"/>
        <v>Overweight</v>
      </c>
      <c r="J802" t="str">
        <f t="shared" si="38"/>
        <v>No</v>
      </c>
    </row>
    <row r="803" spans="1:10" x14ac:dyDescent="0.25">
      <c r="A803">
        <v>64</v>
      </c>
      <c r="B803" t="s">
        <v>7</v>
      </c>
      <c r="C803">
        <v>35.97</v>
      </c>
      <c r="D803">
        <v>0</v>
      </c>
      <c r="E803" t="s">
        <v>11</v>
      </c>
      <c r="F803" t="s">
        <v>12</v>
      </c>
      <c r="G803">
        <v>14313.846299999999</v>
      </c>
      <c r="H803" t="str">
        <f t="shared" si="36"/>
        <v>60+</v>
      </c>
      <c r="I803" t="str">
        <f t="shared" si="37"/>
        <v>Obese</v>
      </c>
      <c r="J803" t="str">
        <f t="shared" si="38"/>
        <v>No</v>
      </c>
    </row>
    <row r="804" spans="1:10" x14ac:dyDescent="0.25">
      <c r="A804">
        <v>21</v>
      </c>
      <c r="B804" t="s">
        <v>10</v>
      </c>
      <c r="C804">
        <v>22.3</v>
      </c>
      <c r="D804">
        <v>1</v>
      </c>
      <c r="E804" t="s">
        <v>11</v>
      </c>
      <c r="F804" t="s">
        <v>9</v>
      </c>
      <c r="G804">
        <v>2103.08</v>
      </c>
      <c r="H804" t="str">
        <f t="shared" si="36"/>
        <v>18-29</v>
      </c>
      <c r="I804" t="str">
        <f t="shared" si="37"/>
        <v>Normal</v>
      </c>
      <c r="J804" t="str">
        <f t="shared" si="38"/>
        <v>No</v>
      </c>
    </row>
    <row r="805" spans="1:10" x14ac:dyDescent="0.25">
      <c r="A805">
        <v>18</v>
      </c>
      <c r="B805" t="s">
        <v>7</v>
      </c>
      <c r="C805">
        <v>42.24</v>
      </c>
      <c r="D805">
        <v>0</v>
      </c>
      <c r="E805" t="s">
        <v>8</v>
      </c>
      <c r="F805" t="s">
        <v>12</v>
      </c>
      <c r="G805">
        <v>38792.685599999997</v>
      </c>
      <c r="H805" t="str">
        <f t="shared" si="36"/>
        <v>18-29</v>
      </c>
      <c r="I805" t="str">
        <f t="shared" si="37"/>
        <v>Obese</v>
      </c>
      <c r="J805" t="str">
        <f t="shared" si="38"/>
        <v>Yes</v>
      </c>
    </row>
    <row r="806" spans="1:10" x14ac:dyDescent="0.25">
      <c r="A806">
        <v>23</v>
      </c>
      <c r="B806" t="s">
        <v>10</v>
      </c>
      <c r="C806">
        <v>26.51</v>
      </c>
      <c r="D806">
        <v>0</v>
      </c>
      <c r="E806" t="s">
        <v>11</v>
      </c>
      <c r="F806" t="s">
        <v>12</v>
      </c>
      <c r="G806">
        <v>1815.8759</v>
      </c>
      <c r="H806" t="str">
        <f t="shared" si="36"/>
        <v>18-29</v>
      </c>
      <c r="I806" t="str">
        <f t="shared" si="37"/>
        <v>Overweight</v>
      </c>
      <c r="J806" t="str">
        <f t="shared" si="38"/>
        <v>No</v>
      </c>
    </row>
    <row r="807" spans="1:10" x14ac:dyDescent="0.25">
      <c r="A807">
        <v>45</v>
      </c>
      <c r="B807" t="s">
        <v>7</v>
      </c>
      <c r="C807">
        <v>35.814999999999998</v>
      </c>
      <c r="D807">
        <v>0</v>
      </c>
      <c r="E807" t="s">
        <v>11</v>
      </c>
      <c r="F807" t="s">
        <v>13</v>
      </c>
      <c r="G807">
        <v>7731.8578500000003</v>
      </c>
      <c r="H807" t="str">
        <f t="shared" si="36"/>
        <v>40-49</v>
      </c>
      <c r="I807" t="str">
        <f t="shared" si="37"/>
        <v>Obese</v>
      </c>
      <c r="J807" t="str">
        <f t="shared" si="38"/>
        <v>No</v>
      </c>
    </row>
    <row r="808" spans="1:10" x14ac:dyDescent="0.25">
      <c r="A808">
        <v>40</v>
      </c>
      <c r="B808" t="s">
        <v>7</v>
      </c>
      <c r="C808">
        <v>41.42</v>
      </c>
      <c r="D808">
        <v>1</v>
      </c>
      <c r="E808" t="s">
        <v>11</v>
      </c>
      <c r="F808" t="s">
        <v>13</v>
      </c>
      <c r="G808">
        <v>28476.734990000001</v>
      </c>
      <c r="H808" t="str">
        <f t="shared" si="36"/>
        <v>40-49</v>
      </c>
      <c r="I808" t="str">
        <f t="shared" si="37"/>
        <v>Obese</v>
      </c>
      <c r="J808" t="str">
        <f t="shared" si="38"/>
        <v>Yes</v>
      </c>
    </row>
    <row r="809" spans="1:10" x14ac:dyDescent="0.25">
      <c r="A809">
        <v>19</v>
      </c>
      <c r="B809" t="s">
        <v>7</v>
      </c>
      <c r="C809">
        <v>36.575000000000003</v>
      </c>
      <c r="D809">
        <v>0</v>
      </c>
      <c r="E809" t="s">
        <v>11</v>
      </c>
      <c r="F809" t="s">
        <v>13</v>
      </c>
      <c r="G809">
        <v>2136.8822500000001</v>
      </c>
      <c r="H809" t="str">
        <f t="shared" si="36"/>
        <v>18-29</v>
      </c>
      <c r="I809" t="str">
        <f t="shared" si="37"/>
        <v>Obese</v>
      </c>
      <c r="J809" t="str">
        <f t="shared" si="38"/>
        <v>No</v>
      </c>
    </row>
    <row r="810" spans="1:10" x14ac:dyDescent="0.25">
      <c r="A810">
        <v>18</v>
      </c>
      <c r="B810" t="s">
        <v>10</v>
      </c>
      <c r="C810">
        <v>30.14</v>
      </c>
      <c r="D810">
        <v>0</v>
      </c>
      <c r="E810" t="s">
        <v>11</v>
      </c>
      <c r="F810" t="s">
        <v>12</v>
      </c>
      <c r="G810">
        <v>1131.5065999999999</v>
      </c>
      <c r="H810" t="str">
        <f t="shared" si="36"/>
        <v>18-29</v>
      </c>
      <c r="I810" t="str">
        <f t="shared" si="37"/>
        <v>Obese</v>
      </c>
      <c r="J810" t="str">
        <f t="shared" si="38"/>
        <v>No</v>
      </c>
    </row>
    <row r="811" spans="1:10" x14ac:dyDescent="0.25">
      <c r="A811">
        <v>25</v>
      </c>
      <c r="B811" t="s">
        <v>10</v>
      </c>
      <c r="C811">
        <v>25.84</v>
      </c>
      <c r="D811">
        <v>1</v>
      </c>
      <c r="E811" t="s">
        <v>11</v>
      </c>
      <c r="F811" t="s">
        <v>14</v>
      </c>
      <c r="G811">
        <v>3309.7926000000002</v>
      </c>
      <c r="H811" t="str">
        <f t="shared" si="36"/>
        <v>18-29</v>
      </c>
      <c r="I811" t="str">
        <f t="shared" si="37"/>
        <v>Overweight</v>
      </c>
      <c r="J811" t="str">
        <f t="shared" si="38"/>
        <v>No</v>
      </c>
    </row>
    <row r="812" spans="1:10" x14ac:dyDescent="0.25">
      <c r="A812">
        <v>46</v>
      </c>
      <c r="B812" t="s">
        <v>7</v>
      </c>
      <c r="C812">
        <v>30.8</v>
      </c>
      <c r="D812">
        <v>3</v>
      </c>
      <c r="E812" t="s">
        <v>11</v>
      </c>
      <c r="F812" t="s">
        <v>9</v>
      </c>
      <c r="G812">
        <v>9414.92</v>
      </c>
      <c r="H812" t="str">
        <f t="shared" si="36"/>
        <v>40-49</v>
      </c>
      <c r="I812" t="str">
        <f t="shared" si="37"/>
        <v>Obese</v>
      </c>
      <c r="J812" t="str">
        <f t="shared" si="38"/>
        <v>No</v>
      </c>
    </row>
    <row r="813" spans="1:10" x14ac:dyDescent="0.25">
      <c r="A813">
        <v>33</v>
      </c>
      <c r="B813" t="s">
        <v>7</v>
      </c>
      <c r="C813">
        <v>42.94</v>
      </c>
      <c r="D813">
        <v>3</v>
      </c>
      <c r="E813" t="s">
        <v>11</v>
      </c>
      <c r="F813" t="s">
        <v>13</v>
      </c>
      <c r="G813">
        <v>6360.9935999999998</v>
      </c>
      <c r="H813" t="str">
        <f t="shared" si="36"/>
        <v>30-39</v>
      </c>
      <c r="I813" t="str">
        <f t="shared" si="37"/>
        <v>Obese</v>
      </c>
      <c r="J813" t="str">
        <f t="shared" si="38"/>
        <v>No</v>
      </c>
    </row>
    <row r="814" spans="1:10" x14ac:dyDescent="0.25">
      <c r="A814">
        <v>54</v>
      </c>
      <c r="B814" t="s">
        <v>10</v>
      </c>
      <c r="C814">
        <v>21.01</v>
      </c>
      <c r="D814">
        <v>2</v>
      </c>
      <c r="E814" t="s">
        <v>11</v>
      </c>
      <c r="F814" t="s">
        <v>12</v>
      </c>
      <c r="G814">
        <v>11013.7119</v>
      </c>
      <c r="H814" t="str">
        <f t="shared" si="36"/>
        <v>50-59</v>
      </c>
      <c r="I814" t="str">
        <f t="shared" si="37"/>
        <v>Normal</v>
      </c>
      <c r="J814" t="str">
        <f t="shared" si="38"/>
        <v>No</v>
      </c>
    </row>
    <row r="815" spans="1:10" x14ac:dyDescent="0.25">
      <c r="A815">
        <v>28</v>
      </c>
      <c r="B815" t="s">
        <v>10</v>
      </c>
      <c r="C815">
        <v>22.515000000000001</v>
      </c>
      <c r="D815">
        <v>2</v>
      </c>
      <c r="E815" t="s">
        <v>11</v>
      </c>
      <c r="F815" t="s">
        <v>14</v>
      </c>
      <c r="G815">
        <v>4428.8878500000001</v>
      </c>
      <c r="H815" t="str">
        <f t="shared" si="36"/>
        <v>18-29</v>
      </c>
      <c r="I815" t="str">
        <f t="shared" si="37"/>
        <v>Normal</v>
      </c>
      <c r="J815" t="str">
        <f t="shared" si="38"/>
        <v>No</v>
      </c>
    </row>
    <row r="816" spans="1:10" x14ac:dyDescent="0.25">
      <c r="A816">
        <v>36</v>
      </c>
      <c r="B816" t="s">
        <v>10</v>
      </c>
      <c r="C816">
        <v>34.43</v>
      </c>
      <c r="D816">
        <v>2</v>
      </c>
      <c r="E816" t="s">
        <v>11</v>
      </c>
      <c r="F816" t="s">
        <v>12</v>
      </c>
      <c r="G816">
        <v>5584.3056999999999</v>
      </c>
      <c r="H816" t="str">
        <f t="shared" si="36"/>
        <v>30-39</v>
      </c>
      <c r="I816" t="str">
        <f t="shared" si="37"/>
        <v>Obese</v>
      </c>
      <c r="J816" t="str">
        <f t="shared" si="38"/>
        <v>No</v>
      </c>
    </row>
    <row r="817" spans="1:10" x14ac:dyDescent="0.25">
      <c r="A817">
        <v>20</v>
      </c>
      <c r="B817" t="s">
        <v>7</v>
      </c>
      <c r="C817">
        <v>31.46</v>
      </c>
      <c r="D817">
        <v>0</v>
      </c>
      <c r="E817" t="s">
        <v>11</v>
      </c>
      <c r="F817" t="s">
        <v>12</v>
      </c>
      <c r="G817">
        <v>1877.9294</v>
      </c>
      <c r="H817" t="str">
        <f t="shared" si="36"/>
        <v>18-29</v>
      </c>
      <c r="I817" t="str">
        <f t="shared" si="37"/>
        <v>Obese</v>
      </c>
      <c r="J817" t="str">
        <f t="shared" si="38"/>
        <v>No</v>
      </c>
    </row>
    <row r="818" spans="1:10" x14ac:dyDescent="0.25">
      <c r="A818">
        <v>24</v>
      </c>
      <c r="B818" t="s">
        <v>7</v>
      </c>
      <c r="C818">
        <v>24.225000000000001</v>
      </c>
      <c r="D818">
        <v>0</v>
      </c>
      <c r="E818" t="s">
        <v>11</v>
      </c>
      <c r="F818" t="s">
        <v>13</v>
      </c>
      <c r="G818">
        <v>2842.7607499999999</v>
      </c>
      <c r="H818" t="str">
        <f t="shared" si="36"/>
        <v>18-29</v>
      </c>
      <c r="I818" t="str">
        <f t="shared" si="37"/>
        <v>Normal</v>
      </c>
      <c r="J818" t="str">
        <f t="shared" si="38"/>
        <v>No</v>
      </c>
    </row>
    <row r="819" spans="1:10" x14ac:dyDescent="0.25">
      <c r="A819">
        <v>23</v>
      </c>
      <c r="B819" t="s">
        <v>10</v>
      </c>
      <c r="C819">
        <v>37.1</v>
      </c>
      <c r="D819">
        <v>3</v>
      </c>
      <c r="E819" t="s">
        <v>11</v>
      </c>
      <c r="F819" t="s">
        <v>9</v>
      </c>
      <c r="G819">
        <v>3597.596</v>
      </c>
      <c r="H819" t="str">
        <f t="shared" si="36"/>
        <v>18-29</v>
      </c>
      <c r="I819" t="str">
        <f t="shared" si="37"/>
        <v>Obese</v>
      </c>
      <c r="J819" t="str">
        <f t="shared" si="38"/>
        <v>No</v>
      </c>
    </row>
    <row r="820" spans="1:10" x14ac:dyDescent="0.25">
      <c r="A820">
        <v>47</v>
      </c>
      <c r="B820" t="s">
        <v>7</v>
      </c>
      <c r="C820">
        <v>26.125</v>
      </c>
      <c r="D820">
        <v>1</v>
      </c>
      <c r="E820" t="s">
        <v>8</v>
      </c>
      <c r="F820" t="s">
        <v>14</v>
      </c>
      <c r="G820">
        <v>23401.30575</v>
      </c>
      <c r="H820" t="str">
        <f t="shared" si="36"/>
        <v>40-49</v>
      </c>
      <c r="I820" t="str">
        <f t="shared" si="37"/>
        <v>Overweight</v>
      </c>
      <c r="J820" t="str">
        <f t="shared" si="38"/>
        <v>Yes</v>
      </c>
    </row>
    <row r="821" spans="1:10" x14ac:dyDescent="0.25">
      <c r="A821">
        <v>33</v>
      </c>
      <c r="B821" t="s">
        <v>7</v>
      </c>
      <c r="C821">
        <v>35.53</v>
      </c>
      <c r="D821">
        <v>0</v>
      </c>
      <c r="E821" t="s">
        <v>8</v>
      </c>
      <c r="F821" t="s">
        <v>13</v>
      </c>
      <c r="G821">
        <v>55135.402090000003</v>
      </c>
      <c r="H821" t="str">
        <f t="shared" si="36"/>
        <v>30-39</v>
      </c>
      <c r="I821" t="str">
        <f t="shared" si="37"/>
        <v>Obese</v>
      </c>
      <c r="J821" t="str">
        <f t="shared" si="38"/>
        <v>Yes</v>
      </c>
    </row>
    <row r="822" spans="1:10" x14ac:dyDescent="0.25">
      <c r="A822">
        <v>45</v>
      </c>
      <c r="B822" t="s">
        <v>10</v>
      </c>
      <c r="C822">
        <v>33.700000000000003</v>
      </c>
      <c r="D822">
        <v>1</v>
      </c>
      <c r="E822" t="s">
        <v>11</v>
      </c>
      <c r="F822" t="s">
        <v>9</v>
      </c>
      <c r="G822">
        <v>7445.9179999999997</v>
      </c>
      <c r="H822" t="str">
        <f t="shared" si="36"/>
        <v>40-49</v>
      </c>
      <c r="I822" t="str">
        <f t="shared" si="37"/>
        <v>Obese</v>
      </c>
      <c r="J822" t="str">
        <f t="shared" si="38"/>
        <v>No</v>
      </c>
    </row>
    <row r="823" spans="1:10" x14ac:dyDescent="0.25">
      <c r="A823">
        <v>26</v>
      </c>
      <c r="B823" t="s">
        <v>10</v>
      </c>
      <c r="C823">
        <v>17.670000000000002</v>
      </c>
      <c r="D823">
        <v>0</v>
      </c>
      <c r="E823" t="s">
        <v>11</v>
      </c>
      <c r="F823" t="s">
        <v>13</v>
      </c>
      <c r="G823">
        <v>2680.9493000000002</v>
      </c>
      <c r="H823" t="str">
        <f t="shared" si="36"/>
        <v>18-29</v>
      </c>
      <c r="I823" t="str">
        <f t="shared" si="37"/>
        <v>Underweight</v>
      </c>
      <c r="J823" t="str">
        <f t="shared" si="38"/>
        <v>No</v>
      </c>
    </row>
    <row r="824" spans="1:10" x14ac:dyDescent="0.25">
      <c r="A824">
        <v>18</v>
      </c>
      <c r="B824" t="s">
        <v>7</v>
      </c>
      <c r="C824">
        <v>31.13</v>
      </c>
      <c r="D824">
        <v>0</v>
      </c>
      <c r="E824" t="s">
        <v>11</v>
      </c>
      <c r="F824" t="s">
        <v>12</v>
      </c>
      <c r="G824">
        <v>1621.8827000000001</v>
      </c>
      <c r="H824" t="str">
        <f t="shared" si="36"/>
        <v>18-29</v>
      </c>
      <c r="I824" t="str">
        <f t="shared" si="37"/>
        <v>Obese</v>
      </c>
      <c r="J824" t="str">
        <f t="shared" si="38"/>
        <v>No</v>
      </c>
    </row>
    <row r="825" spans="1:10" x14ac:dyDescent="0.25">
      <c r="A825">
        <v>44</v>
      </c>
      <c r="B825" t="s">
        <v>7</v>
      </c>
      <c r="C825">
        <v>29.81</v>
      </c>
      <c r="D825">
        <v>2</v>
      </c>
      <c r="E825" t="s">
        <v>11</v>
      </c>
      <c r="F825" t="s">
        <v>12</v>
      </c>
      <c r="G825">
        <v>8219.2039000000004</v>
      </c>
      <c r="H825" t="str">
        <f t="shared" si="36"/>
        <v>40-49</v>
      </c>
      <c r="I825" t="str">
        <f t="shared" si="37"/>
        <v>Overweight</v>
      </c>
      <c r="J825" t="str">
        <f t="shared" si="38"/>
        <v>No</v>
      </c>
    </row>
    <row r="826" spans="1:10" x14ac:dyDescent="0.25">
      <c r="A826">
        <v>60</v>
      </c>
      <c r="B826" t="s">
        <v>10</v>
      </c>
      <c r="C826">
        <v>24.32</v>
      </c>
      <c r="D826">
        <v>0</v>
      </c>
      <c r="E826" t="s">
        <v>11</v>
      </c>
      <c r="F826" t="s">
        <v>13</v>
      </c>
      <c r="G826">
        <v>12523.604799999999</v>
      </c>
      <c r="H826" t="str">
        <f t="shared" si="36"/>
        <v>60+</v>
      </c>
      <c r="I826" t="str">
        <f t="shared" si="37"/>
        <v>Normal</v>
      </c>
      <c r="J826" t="str">
        <f t="shared" si="38"/>
        <v>No</v>
      </c>
    </row>
    <row r="827" spans="1:10" x14ac:dyDescent="0.25">
      <c r="A827">
        <v>64</v>
      </c>
      <c r="B827" t="s">
        <v>7</v>
      </c>
      <c r="C827">
        <v>31.824999999999999</v>
      </c>
      <c r="D827">
        <v>2</v>
      </c>
      <c r="E827" t="s">
        <v>11</v>
      </c>
      <c r="F827" t="s">
        <v>14</v>
      </c>
      <c r="G827">
        <v>16069.08475</v>
      </c>
      <c r="H827" t="str">
        <f t="shared" si="36"/>
        <v>60+</v>
      </c>
      <c r="I827" t="str">
        <f t="shared" si="37"/>
        <v>Obese</v>
      </c>
      <c r="J827" t="str">
        <f t="shared" si="38"/>
        <v>No</v>
      </c>
    </row>
    <row r="828" spans="1:10" x14ac:dyDescent="0.25">
      <c r="A828">
        <v>56</v>
      </c>
      <c r="B828" t="s">
        <v>10</v>
      </c>
      <c r="C828">
        <v>31.79</v>
      </c>
      <c r="D828">
        <v>2</v>
      </c>
      <c r="E828" t="s">
        <v>8</v>
      </c>
      <c r="F828" t="s">
        <v>12</v>
      </c>
      <c r="G828">
        <v>43813.866099999999</v>
      </c>
      <c r="H828" t="str">
        <f t="shared" si="36"/>
        <v>50-59</v>
      </c>
      <c r="I828" t="str">
        <f t="shared" si="37"/>
        <v>Obese</v>
      </c>
      <c r="J828" t="str">
        <f t="shared" si="38"/>
        <v>Yes</v>
      </c>
    </row>
    <row r="829" spans="1:10" x14ac:dyDescent="0.25">
      <c r="A829">
        <v>36</v>
      </c>
      <c r="B829" t="s">
        <v>10</v>
      </c>
      <c r="C829">
        <v>28.024999999999999</v>
      </c>
      <c r="D829">
        <v>1</v>
      </c>
      <c r="E829" t="s">
        <v>8</v>
      </c>
      <c r="F829" t="s">
        <v>14</v>
      </c>
      <c r="G829">
        <v>20773.62775</v>
      </c>
      <c r="H829" t="str">
        <f t="shared" si="36"/>
        <v>30-39</v>
      </c>
      <c r="I829" t="str">
        <f t="shared" si="37"/>
        <v>Overweight</v>
      </c>
      <c r="J829" t="str">
        <f t="shared" si="38"/>
        <v>Yes</v>
      </c>
    </row>
    <row r="830" spans="1:10" x14ac:dyDescent="0.25">
      <c r="A830">
        <v>41</v>
      </c>
      <c r="B830" t="s">
        <v>10</v>
      </c>
      <c r="C830">
        <v>30.78</v>
      </c>
      <c r="D830">
        <v>3</v>
      </c>
      <c r="E830" t="s">
        <v>8</v>
      </c>
      <c r="F830" t="s">
        <v>14</v>
      </c>
      <c r="G830">
        <v>39597.407200000001</v>
      </c>
      <c r="H830" t="str">
        <f t="shared" si="36"/>
        <v>40-49</v>
      </c>
      <c r="I830" t="str">
        <f t="shared" si="37"/>
        <v>Obese</v>
      </c>
      <c r="J830" t="str">
        <f t="shared" si="38"/>
        <v>Yes</v>
      </c>
    </row>
    <row r="831" spans="1:10" x14ac:dyDescent="0.25">
      <c r="A831">
        <v>39</v>
      </c>
      <c r="B831" t="s">
        <v>10</v>
      </c>
      <c r="C831">
        <v>21.85</v>
      </c>
      <c r="D831">
        <v>1</v>
      </c>
      <c r="E831" t="s">
        <v>11</v>
      </c>
      <c r="F831" t="s">
        <v>13</v>
      </c>
      <c r="G831">
        <v>6117.4944999999998</v>
      </c>
      <c r="H831" t="str">
        <f t="shared" si="36"/>
        <v>30-39</v>
      </c>
      <c r="I831" t="str">
        <f t="shared" si="37"/>
        <v>Normal</v>
      </c>
      <c r="J831" t="str">
        <f t="shared" si="38"/>
        <v>No</v>
      </c>
    </row>
    <row r="832" spans="1:10" x14ac:dyDescent="0.25">
      <c r="A832">
        <v>63</v>
      </c>
      <c r="B832" t="s">
        <v>10</v>
      </c>
      <c r="C832">
        <v>33.1</v>
      </c>
      <c r="D832">
        <v>0</v>
      </c>
      <c r="E832" t="s">
        <v>11</v>
      </c>
      <c r="F832" t="s">
        <v>9</v>
      </c>
      <c r="G832">
        <v>13393.755999999999</v>
      </c>
      <c r="H832" t="str">
        <f t="shared" si="36"/>
        <v>60+</v>
      </c>
      <c r="I832" t="str">
        <f t="shared" si="37"/>
        <v>Obese</v>
      </c>
      <c r="J832" t="str">
        <f t="shared" si="38"/>
        <v>No</v>
      </c>
    </row>
    <row r="833" spans="1:10" x14ac:dyDescent="0.25">
      <c r="A833">
        <v>36</v>
      </c>
      <c r="B833" t="s">
        <v>7</v>
      </c>
      <c r="C833">
        <v>25.84</v>
      </c>
      <c r="D833">
        <v>0</v>
      </c>
      <c r="E833" t="s">
        <v>11</v>
      </c>
      <c r="F833" t="s">
        <v>13</v>
      </c>
      <c r="G833">
        <v>5266.3656000000001</v>
      </c>
      <c r="H833" t="str">
        <f t="shared" si="36"/>
        <v>30-39</v>
      </c>
      <c r="I833" t="str">
        <f t="shared" si="37"/>
        <v>Overweight</v>
      </c>
      <c r="J833" t="str">
        <f t="shared" si="38"/>
        <v>No</v>
      </c>
    </row>
    <row r="834" spans="1:10" x14ac:dyDescent="0.25">
      <c r="A834">
        <v>28</v>
      </c>
      <c r="B834" t="s">
        <v>7</v>
      </c>
      <c r="C834">
        <v>23.844999999999999</v>
      </c>
      <c r="D834">
        <v>2</v>
      </c>
      <c r="E834" t="s">
        <v>11</v>
      </c>
      <c r="F834" t="s">
        <v>13</v>
      </c>
      <c r="G834">
        <v>4719.7365499999996</v>
      </c>
      <c r="H834" t="str">
        <f t="shared" ref="H834:H897" si="39">IF(A834&lt;30, "18-29", IF(A834&lt;40, "30-39", IF(A834&lt;50, "40-49", IF(A834&lt;60, "50-59", "60+"))))</f>
        <v>18-29</v>
      </c>
      <c r="I834" t="str">
        <f t="shared" ref="I834:I897" si="40">IF(C834&lt;18.5, "Underweight", IF(C834&lt;25, "Normal", IF(C834&lt;30,"Overweight","Obese")))</f>
        <v>Normal</v>
      </c>
      <c r="J834" t="str">
        <f t="shared" ref="J834:J897" si="41">IF(G834&gt;20000,"Yes","No")</f>
        <v>No</v>
      </c>
    </row>
    <row r="835" spans="1:10" x14ac:dyDescent="0.25">
      <c r="A835">
        <v>58</v>
      </c>
      <c r="B835" t="s">
        <v>10</v>
      </c>
      <c r="C835">
        <v>34.39</v>
      </c>
      <c r="D835">
        <v>0</v>
      </c>
      <c r="E835" t="s">
        <v>11</v>
      </c>
      <c r="F835" t="s">
        <v>13</v>
      </c>
      <c r="G835">
        <v>11743.9341</v>
      </c>
      <c r="H835" t="str">
        <f t="shared" si="39"/>
        <v>50-59</v>
      </c>
      <c r="I835" t="str">
        <f t="shared" si="40"/>
        <v>Obese</v>
      </c>
      <c r="J835" t="str">
        <f t="shared" si="41"/>
        <v>No</v>
      </c>
    </row>
    <row r="836" spans="1:10" x14ac:dyDescent="0.25">
      <c r="A836">
        <v>36</v>
      </c>
      <c r="B836" t="s">
        <v>10</v>
      </c>
      <c r="C836">
        <v>33.82</v>
      </c>
      <c r="D836">
        <v>1</v>
      </c>
      <c r="E836" t="s">
        <v>11</v>
      </c>
      <c r="F836" t="s">
        <v>13</v>
      </c>
      <c r="G836">
        <v>5377.4578000000001</v>
      </c>
      <c r="H836" t="str">
        <f t="shared" si="39"/>
        <v>30-39</v>
      </c>
      <c r="I836" t="str">
        <f t="shared" si="40"/>
        <v>Obese</v>
      </c>
      <c r="J836" t="str">
        <f t="shared" si="41"/>
        <v>No</v>
      </c>
    </row>
    <row r="837" spans="1:10" x14ac:dyDescent="0.25">
      <c r="A837">
        <v>42</v>
      </c>
      <c r="B837" t="s">
        <v>10</v>
      </c>
      <c r="C837">
        <v>35.97</v>
      </c>
      <c r="D837">
        <v>2</v>
      </c>
      <c r="E837" t="s">
        <v>11</v>
      </c>
      <c r="F837" t="s">
        <v>12</v>
      </c>
      <c r="G837">
        <v>7160.3302999999996</v>
      </c>
      <c r="H837" t="str">
        <f t="shared" si="39"/>
        <v>40-49</v>
      </c>
      <c r="I837" t="str">
        <f t="shared" si="40"/>
        <v>Obese</v>
      </c>
      <c r="J837" t="str">
        <f t="shared" si="41"/>
        <v>No</v>
      </c>
    </row>
    <row r="838" spans="1:10" x14ac:dyDescent="0.25">
      <c r="A838">
        <v>36</v>
      </c>
      <c r="B838" t="s">
        <v>10</v>
      </c>
      <c r="C838">
        <v>31.5</v>
      </c>
      <c r="D838">
        <v>0</v>
      </c>
      <c r="E838" t="s">
        <v>11</v>
      </c>
      <c r="F838" t="s">
        <v>9</v>
      </c>
      <c r="G838">
        <v>4402.2330000000002</v>
      </c>
      <c r="H838" t="str">
        <f t="shared" si="39"/>
        <v>30-39</v>
      </c>
      <c r="I838" t="str">
        <f t="shared" si="40"/>
        <v>Obese</v>
      </c>
      <c r="J838" t="str">
        <f t="shared" si="41"/>
        <v>No</v>
      </c>
    </row>
    <row r="839" spans="1:10" x14ac:dyDescent="0.25">
      <c r="A839">
        <v>56</v>
      </c>
      <c r="B839" t="s">
        <v>7</v>
      </c>
      <c r="C839">
        <v>28.31</v>
      </c>
      <c r="D839">
        <v>0</v>
      </c>
      <c r="E839" t="s">
        <v>11</v>
      </c>
      <c r="F839" t="s">
        <v>14</v>
      </c>
      <c r="G839">
        <v>11657.7189</v>
      </c>
      <c r="H839" t="str">
        <f t="shared" si="39"/>
        <v>50-59</v>
      </c>
      <c r="I839" t="str">
        <f t="shared" si="40"/>
        <v>Overweight</v>
      </c>
      <c r="J839" t="str">
        <f t="shared" si="41"/>
        <v>No</v>
      </c>
    </row>
    <row r="840" spans="1:10" x14ac:dyDescent="0.25">
      <c r="A840">
        <v>35</v>
      </c>
      <c r="B840" t="s">
        <v>7</v>
      </c>
      <c r="C840">
        <v>23.465</v>
      </c>
      <c r="D840">
        <v>2</v>
      </c>
      <c r="E840" t="s">
        <v>11</v>
      </c>
      <c r="F840" t="s">
        <v>14</v>
      </c>
      <c r="G840">
        <v>6402.2913500000004</v>
      </c>
      <c r="H840" t="str">
        <f t="shared" si="39"/>
        <v>30-39</v>
      </c>
      <c r="I840" t="str">
        <f t="shared" si="40"/>
        <v>Normal</v>
      </c>
      <c r="J840" t="str">
        <f t="shared" si="41"/>
        <v>No</v>
      </c>
    </row>
    <row r="841" spans="1:10" x14ac:dyDescent="0.25">
      <c r="A841">
        <v>59</v>
      </c>
      <c r="B841" t="s">
        <v>7</v>
      </c>
      <c r="C841">
        <v>31.35</v>
      </c>
      <c r="D841">
        <v>0</v>
      </c>
      <c r="E841" t="s">
        <v>11</v>
      </c>
      <c r="F841" t="s">
        <v>13</v>
      </c>
      <c r="G841">
        <v>12622.1795</v>
      </c>
      <c r="H841" t="str">
        <f t="shared" si="39"/>
        <v>50-59</v>
      </c>
      <c r="I841" t="str">
        <f t="shared" si="40"/>
        <v>Obese</v>
      </c>
      <c r="J841" t="str">
        <f t="shared" si="41"/>
        <v>No</v>
      </c>
    </row>
    <row r="842" spans="1:10" x14ac:dyDescent="0.25">
      <c r="A842">
        <v>21</v>
      </c>
      <c r="B842" t="s">
        <v>10</v>
      </c>
      <c r="C842">
        <v>31.1</v>
      </c>
      <c r="D842">
        <v>0</v>
      </c>
      <c r="E842" t="s">
        <v>11</v>
      </c>
      <c r="F842" t="s">
        <v>9</v>
      </c>
      <c r="G842">
        <v>1526.3119999999999</v>
      </c>
      <c r="H842" t="str">
        <f t="shared" si="39"/>
        <v>18-29</v>
      </c>
      <c r="I842" t="str">
        <f t="shared" si="40"/>
        <v>Obese</v>
      </c>
      <c r="J842" t="str">
        <f t="shared" si="41"/>
        <v>No</v>
      </c>
    </row>
    <row r="843" spans="1:10" x14ac:dyDescent="0.25">
      <c r="A843">
        <v>59</v>
      </c>
      <c r="B843" t="s">
        <v>10</v>
      </c>
      <c r="C843">
        <v>24.7</v>
      </c>
      <c r="D843">
        <v>0</v>
      </c>
      <c r="E843" t="s">
        <v>11</v>
      </c>
      <c r="F843" t="s">
        <v>14</v>
      </c>
      <c r="G843">
        <v>12323.936</v>
      </c>
      <c r="H843" t="str">
        <f t="shared" si="39"/>
        <v>50-59</v>
      </c>
      <c r="I843" t="str">
        <f t="shared" si="40"/>
        <v>Normal</v>
      </c>
      <c r="J843" t="str">
        <f t="shared" si="41"/>
        <v>No</v>
      </c>
    </row>
    <row r="844" spans="1:10" x14ac:dyDescent="0.25">
      <c r="A844">
        <v>23</v>
      </c>
      <c r="B844" t="s">
        <v>7</v>
      </c>
      <c r="C844">
        <v>32.78</v>
      </c>
      <c r="D844">
        <v>2</v>
      </c>
      <c r="E844" t="s">
        <v>8</v>
      </c>
      <c r="F844" t="s">
        <v>12</v>
      </c>
      <c r="G844">
        <v>36021.011200000001</v>
      </c>
      <c r="H844" t="str">
        <f t="shared" si="39"/>
        <v>18-29</v>
      </c>
      <c r="I844" t="str">
        <f t="shared" si="40"/>
        <v>Obese</v>
      </c>
      <c r="J844" t="str">
        <f t="shared" si="41"/>
        <v>Yes</v>
      </c>
    </row>
    <row r="845" spans="1:10" x14ac:dyDescent="0.25">
      <c r="A845">
        <v>57</v>
      </c>
      <c r="B845" t="s">
        <v>7</v>
      </c>
      <c r="C845">
        <v>29.81</v>
      </c>
      <c r="D845">
        <v>0</v>
      </c>
      <c r="E845" t="s">
        <v>8</v>
      </c>
      <c r="F845" t="s">
        <v>12</v>
      </c>
      <c r="G845">
        <v>27533.912899999999</v>
      </c>
      <c r="H845" t="str">
        <f t="shared" si="39"/>
        <v>50-59</v>
      </c>
      <c r="I845" t="str">
        <f t="shared" si="40"/>
        <v>Overweight</v>
      </c>
      <c r="J845" t="str">
        <f t="shared" si="41"/>
        <v>Yes</v>
      </c>
    </row>
    <row r="846" spans="1:10" x14ac:dyDescent="0.25">
      <c r="A846">
        <v>53</v>
      </c>
      <c r="B846" t="s">
        <v>10</v>
      </c>
      <c r="C846">
        <v>30.495000000000001</v>
      </c>
      <c r="D846">
        <v>0</v>
      </c>
      <c r="E846" t="s">
        <v>11</v>
      </c>
      <c r="F846" t="s">
        <v>14</v>
      </c>
      <c r="G846">
        <v>10072.055050000001</v>
      </c>
      <c r="H846" t="str">
        <f t="shared" si="39"/>
        <v>50-59</v>
      </c>
      <c r="I846" t="str">
        <f t="shared" si="40"/>
        <v>Obese</v>
      </c>
      <c r="J846" t="str">
        <f t="shared" si="41"/>
        <v>No</v>
      </c>
    </row>
    <row r="847" spans="1:10" x14ac:dyDescent="0.25">
      <c r="A847">
        <v>60</v>
      </c>
      <c r="B847" t="s">
        <v>7</v>
      </c>
      <c r="C847">
        <v>32.450000000000003</v>
      </c>
      <c r="D847">
        <v>0</v>
      </c>
      <c r="E847" t="s">
        <v>8</v>
      </c>
      <c r="F847" t="s">
        <v>12</v>
      </c>
      <c r="G847">
        <v>45008.955499999996</v>
      </c>
      <c r="H847" t="str">
        <f t="shared" si="39"/>
        <v>60+</v>
      </c>
      <c r="I847" t="str">
        <f t="shared" si="40"/>
        <v>Obese</v>
      </c>
      <c r="J847" t="str">
        <f t="shared" si="41"/>
        <v>Yes</v>
      </c>
    </row>
    <row r="848" spans="1:10" x14ac:dyDescent="0.25">
      <c r="A848">
        <v>51</v>
      </c>
      <c r="B848" t="s">
        <v>7</v>
      </c>
      <c r="C848">
        <v>34.200000000000003</v>
      </c>
      <c r="D848">
        <v>1</v>
      </c>
      <c r="E848" t="s">
        <v>11</v>
      </c>
      <c r="F848" t="s">
        <v>9</v>
      </c>
      <c r="G848">
        <v>9872.7009999999991</v>
      </c>
      <c r="H848" t="str">
        <f t="shared" si="39"/>
        <v>50-59</v>
      </c>
      <c r="I848" t="str">
        <f t="shared" si="40"/>
        <v>Obese</v>
      </c>
      <c r="J848" t="str">
        <f t="shared" si="41"/>
        <v>No</v>
      </c>
    </row>
    <row r="849" spans="1:10" x14ac:dyDescent="0.25">
      <c r="A849">
        <v>23</v>
      </c>
      <c r="B849" t="s">
        <v>10</v>
      </c>
      <c r="C849">
        <v>50.38</v>
      </c>
      <c r="D849">
        <v>1</v>
      </c>
      <c r="E849" t="s">
        <v>11</v>
      </c>
      <c r="F849" t="s">
        <v>12</v>
      </c>
      <c r="G849">
        <v>2438.0551999999998</v>
      </c>
      <c r="H849" t="str">
        <f t="shared" si="39"/>
        <v>18-29</v>
      </c>
      <c r="I849" t="str">
        <f t="shared" si="40"/>
        <v>Obese</v>
      </c>
      <c r="J849" t="str">
        <f t="shared" si="41"/>
        <v>No</v>
      </c>
    </row>
    <row r="850" spans="1:10" x14ac:dyDescent="0.25">
      <c r="A850">
        <v>27</v>
      </c>
      <c r="B850" t="s">
        <v>7</v>
      </c>
      <c r="C850">
        <v>24.1</v>
      </c>
      <c r="D850">
        <v>0</v>
      </c>
      <c r="E850" t="s">
        <v>11</v>
      </c>
      <c r="F850" t="s">
        <v>9</v>
      </c>
      <c r="G850">
        <v>2974.1260000000002</v>
      </c>
      <c r="H850" t="str">
        <f t="shared" si="39"/>
        <v>18-29</v>
      </c>
      <c r="I850" t="str">
        <f t="shared" si="40"/>
        <v>Normal</v>
      </c>
      <c r="J850" t="str">
        <f t="shared" si="41"/>
        <v>No</v>
      </c>
    </row>
    <row r="851" spans="1:10" x14ac:dyDescent="0.25">
      <c r="A851">
        <v>55</v>
      </c>
      <c r="B851" t="s">
        <v>10</v>
      </c>
      <c r="C851">
        <v>32.774999999999999</v>
      </c>
      <c r="D851">
        <v>0</v>
      </c>
      <c r="E851" t="s">
        <v>11</v>
      </c>
      <c r="F851" t="s">
        <v>13</v>
      </c>
      <c r="G851">
        <v>10601.632250000001</v>
      </c>
      <c r="H851" t="str">
        <f t="shared" si="39"/>
        <v>50-59</v>
      </c>
      <c r="I851" t="str">
        <f t="shared" si="40"/>
        <v>Obese</v>
      </c>
      <c r="J851" t="str">
        <f t="shared" si="41"/>
        <v>No</v>
      </c>
    </row>
    <row r="852" spans="1:10" x14ac:dyDescent="0.25">
      <c r="A852">
        <v>37</v>
      </c>
      <c r="B852" t="s">
        <v>7</v>
      </c>
      <c r="C852">
        <v>30.78</v>
      </c>
      <c r="D852">
        <v>0</v>
      </c>
      <c r="E852" t="s">
        <v>8</v>
      </c>
      <c r="F852" t="s">
        <v>14</v>
      </c>
      <c r="G852">
        <v>37270.1512</v>
      </c>
      <c r="H852" t="str">
        <f t="shared" si="39"/>
        <v>30-39</v>
      </c>
      <c r="I852" t="str">
        <f t="shared" si="40"/>
        <v>Obese</v>
      </c>
      <c r="J852" t="str">
        <f t="shared" si="41"/>
        <v>Yes</v>
      </c>
    </row>
    <row r="853" spans="1:10" x14ac:dyDescent="0.25">
      <c r="A853">
        <v>61</v>
      </c>
      <c r="B853" t="s">
        <v>10</v>
      </c>
      <c r="C853">
        <v>32.299999999999997</v>
      </c>
      <c r="D853">
        <v>2</v>
      </c>
      <c r="E853" t="s">
        <v>11</v>
      </c>
      <c r="F853" t="s">
        <v>13</v>
      </c>
      <c r="G853">
        <v>14119.62</v>
      </c>
      <c r="H853" t="str">
        <f t="shared" si="39"/>
        <v>60+</v>
      </c>
      <c r="I853" t="str">
        <f t="shared" si="40"/>
        <v>Obese</v>
      </c>
      <c r="J853" t="str">
        <f t="shared" si="41"/>
        <v>No</v>
      </c>
    </row>
    <row r="854" spans="1:10" x14ac:dyDescent="0.25">
      <c r="A854">
        <v>46</v>
      </c>
      <c r="B854" t="s">
        <v>7</v>
      </c>
      <c r="C854">
        <v>35.53</v>
      </c>
      <c r="D854">
        <v>0</v>
      </c>
      <c r="E854" t="s">
        <v>8</v>
      </c>
      <c r="F854" t="s">
        <v>14</v>
      </c>
      <c r="G854">
        <v>42111.664700000001</v>
      </c>
      <c r="H854" t="str">
        <f t="shared" si="39"/>
        <v>40-49</v>
      </c>
      <c r="I854" t="str">
        <f t="shared" si="40"/>
        <v>Obese</v>
      </c>
      <c r="J854" t="str">
        <f t="shared" si="41"/>
        <v>Yes</v>
      </c>
    </row>
    <row r="855" spans="1:10" x14ac:dyDescent="0.25">
      <c r="A855">
        <v>53</v>
      </c>
      <c r="B855" t="s">
        <v>7</v>
      </c>
      <c r="C855">
        <v>23.75</v>
      </c>
      <c r="D855">
        <v>2</v>
      </c>
      <c r="E855" t="s">
        <v>11</v>
      </c>
      <c r="F855" t="s">
        <v>14</v>
      </c>
      <c r="G855">
        <v>11729.6795</v>
      </c>
      <c r="H855" t="str">
        <f t="shared" si="39"/>
        <v>50-59</v>
      </c>
      <c r="I855" t="str">
        <f t="shared" si="40"/>
        <v>Normal</v>
      </c>
      <c r="J855" t="str">
        <f t="shared" si="41"/>
        <v>No</v>
      </c>
    </row>
    <row r="856" spans="1:10" x14ac:dyDescent="0.25">
      <c r="A856">
        <v>49</v>
      </c>
      <c r="B856" t="s">
        <v>7</v>
      </c>
      <c r="C856">
        <v>23.844999999999999</v>
      </c>
      <c r="D856">
        <v>3</v>
      </c>
      <c r="E856" t="s">
        <v>8</v>
      </c>
      <c r="F856" t="s">
        <v>14</v>
      </c>
      <c r="G856">
        <v>24106.912550000001</v>
      </c>
      <c r="H856" t="str">
        <f t="shared" si="39"/>
        <v>40-49</v>
      </c>
      <c r="I856" t="str">
        <f t="shared" si="40"/>
        <v>Normal</v>
      </c>
      <c r="J856" t="str">
        <f t="shared" si="41"/>
        <v>Yes</v>
      </c>
    </row>
    <row r="857" spans="1:10" x14ac:dyDescent="0.25">
      <c r="A857">
        <v>20</v>
      </c>
      <c r="B857" t="s">
        <v>7</v>
      </c>
      <c r="C857">
        <v>29.6</v>
      </c>
      <c r="D857">
        <v>0</v>
      </c>
      <c r="E857" t="s">
        <v>11</v>
      </c>
      <c r="F857" t="s">
        <v>9</v>
      </c>
      <c r="G857">
        <v>1875.3440000000001</v>
      </c>
      <c r="H857" t="str">
        <f t="shared" si="39"/>
        <v>18-29</v>
      </c>
      <c r="I857" t="str">
        <f t="shared" si="40"/>
        <v>Overweight</v>
      </c>
      <c r="J857" t="str">
        <f t="shared" si="41"/>
        <v>No</v>
      </c>
    </row>
    <row r="858" spans="1:10" x14ac:dyDescent="0.25">
      <c r="A858">
        <v>48</v>
      </c>
      <c r="B858" t="s">
        <v>7</v>
      </c>
      <c r="C858">
        <v>33.11</v>
      </c>
      <c r="D858">
        <v>0</v>
      </c>
      <c r="E858" t="s">
        <v>8</v>
      </c>
      <c r="F858" t="s">
        <v>12</v>
      </c>
      <c r="G858">
        <v>40974.164900000003</v>
      </c>
      <c r="H858" t="str">
        <f t="shared" si="39"/>
        <v>40-49</v>
      </c>
      <c r="I858" t="str">
        <f t="shared" si="40"/>
        <v>Obese</v>
      </c>
      <c r="J858" t="str">
        <f t="shared" si="41"/>
        <v>Yes</v>
      </c>
    </row>
    <row r="859" spans="1:10" x14ac:dyDescent="0.25">
      <c r="A859">
        <v>25</v>
      </c>
      <c r="B859" t="s">
        <v>10</v>
      </c>
      <c r="C859">
        <v>24.13</v>
      </c>
      <c r="D859">
        <v>0</v>
      </c>
      <c r="E859" t="s">
        <v>8</v>
      </c>
      <c r="F859" t="s">
        <v>13</v>
      </c>
      <c r="G859">
        <v>15817.985699999999</v>
      </c>
      <c r="H859" t="str">
        <f t="shared" si="39"/>
        <v>18-29</v>
      </c>
      <c r="I859" t="str">
        <f t="shared" si="40"/>
        <v>Normal</v>
      </c>
      <c r="J859" t="str">
        <f t="shared" si="41"/>
        <v>No</v>
      </c>
    </row>
    <row r="860" spans="1:10" x14ac:dyDescent="0.25">
      <c r="A860">
        <v>25</v>
      </c>
      <c r="B860" t="s">
        <v>7</v>
      </c>
      <c r="C860">
        <v>32.229999999999997</v>
      </c>
      <c r="D860">
        <v>1</v>
      </c>
      <c r="E860" t="s">
        <v>11</v>
      </c>
      <c r="F860" t="s">
        <v>12</v>
      </c>
      <c r="G860">
        <v>18218.161390000001</v>
      </c>
      <c r="H860" t="str">
        <f t="shared" si="39"/>
        <v>18-29</v>
      </c>
      <c r="I860" t="str">
        <f t="shared" si="40"/>
        <v>Obese</v>
      </c>
      <c r="J860" t="str">
        <f t="shared" si="41"/>
        <v>No</v>
      </c>
    </row>
    <row r="861" spans="1:10" x14ac:dyDescent="0.25">
      <c r="A861">
        <v>57</v>
      </c>
      <c r="B861" t="s">
        <v>10</v>
      </c>
      <c r="C861">
        <v>28.1</v>
      </c>
      <c r="D861">
        <v>0</v>
      </c>
      <c r="E861" t="s">
        <v>11</v>
      </c>
      <c r="F861" t="s">
        <v>9</v>
      </c>
      <c r="G861">
        <v>10965.446</v>
      </c>
      <c r="H861" t="str">
        <f t="shared" si="39"/>
        <v>50-59</v>
      </c>
      <c r="I861" t="str">
        <f t="shared" si="40"/>
        <v>Overweight</v>
      </c>
      <c r="J861" t="str">
        <f t="shared" si="41"/>
        <v>No</v>
      </c>
    </row>
    <row r="862" spans="1:10" x14ac:dyDescent="0.25">
      <c r="A862">
        <v>37</v>
      </c>
      <c r="B862" t="s">
        <v>7</v>
      </c>
      <c r="C862">
        <v>47.6</v>
      </c>
      <c r="D862">
        <v>2</v>
      </c>
      <c r="E862" t="s">
        <v>8</v>
      </c>
      <c r="F862" t="s">
        <v>9</v>
      </c>
      <c r="G862">
        <v>46113.510999999999</v>
      </c>
      <c r="H862" t="str">
        <f t="shared" si="39"/>
        <v>30-39</v>
      </c>
      <c r="I862" t="str">
        <f t="shared" si="40"/>
        <v>Obese</v>
      </c>
      <c r="J862" t="str">
        <f t="shared" si="41"/>
        <v>Yes</v>
      </c>
    </row>
    <row r="863" spans="1:10" x14ac:dyDescent="0.25">
      <c r="A863">
        <v>38</v>
      </c>
      <c r="B863" t="s">
        <v>7</v>
      </c>
      <c r="C863">
        <v>28</v>
      </c>
      <c r="D863">
        <v>3</v>
      </c>
      <c r="E863" t="s">
        <v>11</v>
      </c>
      <c r="F863" t="s">
        <v>9</v>
      </c>
      <c r="G863">
        <v>7151.0919999999996</v>
      </c>
      <c r="H863" t="str">
        <f t="shared" si="39"/>
        <v>30-39</v>
      </c>
      <c r="I863" t="str">
        <f t="shared" si="40"/>
        <v>Overweight</v>
      </c>
      <c r="J863" t="str">
        <f t="shared" si="41"/>
        <v>No</v>
      </c>
    </row>
    <row r="864" spans="1:10" x14ac:dyDescent="0.25">
      <c r="A864">
        <v>55</v>
      </c>
      <c r="B864" t="s">
        <v>7</v>
      </c>
      <c r="C864">
        <v>33.534999999999997</v>
      </c>
      <c r="D864">
        <v>2</v>
      </c>
      <c r="E864" t="s">
        <v>11</v>
      </c>
      <c r="F864" t="s">
        <v>13</v>
      </c>
      <c r="G864">
        <v>12269.68865</v>
      </c>
      <c r="H864" t="str">
        <f t="shared" si="39"/>
        <v>50-59</v>
      </c>
      <c r="I864" t="str">
        <f t="shared" si="40"/>
        <v>Obese</v>
      </c>
      <c r="J864" t="str">
        <f t="shared" si="41"/>
        <v>No</v>
      </c>
    </row>
    <row r="865" spans="1:10" x14ac:dyDescent="0.25">
      <c r="A865">
        <v>36</v>
      </c>
      <c r="B865" t="s">
        <v>7</v>
      </c>
      <c r="C865">
        <v>19.855</v>
      </c>
      <c r="D865">
        <v>0</v>
      </c>
      <c r="E865" t="s">
        <v>11</v>
      </c>
      <c r="F865" t="s">
        <v>14</v>
      </c>
      <c r="G865">
        <v>5458.0464499999998</v>
      </c>
      <c r="H865" t="str">
        <f t="shared" si="39"/>
        <v>30-39</v>
      </c>
      <c r="I865" t="str">
        <f t="shared" si="40"/>
        <v>Normal</v>
      </c>
      <c r="J865" t="str">
        <f t="shared" si="41"/>
        <v>No</v>
      </c>
    </row>
    <row r="866" spans="1:10" x14ac:dyDescent="0.25">
      <c r="A866">
        <v>51</v>
      </c>
      <c r="B866" t="s">
        <v>10</v>
      </c>
      <c r="C866">
        <v>25.4</v>
      </c>
      <c r="D866">
        <v>0</v>
      </c>
      <c r="E866" t="s">
        <v>11</v>
      </c>
      <c r="F866" t="s">
        <v>9</v>
      </c>
      <c r="G866">
        <v>8782.4689999999991</v>
      </c>
      <c r="H866" t="str">
        <f t="shared" si="39"/>
        <v>50-59</v>
      </c>
      <c r="I866" t="str">
        <f t="shared" si="40"/>
        <v>Overweight</v>
      </c>
      <c r="J866" t="str">
        <f t="shared" si="41"/>
        <v>No</v>
      </c>
    </row>
    <row r="867" spans="1:10" x14ac:dyDescent="0.25">
      <c r="A867">
        <v>40</v>
      </c>
      <c r="B867" t="s">
        <v>10</v>
      </c>
      <c r="C867">
        <v>29.9</v>
      </c>
      <c r="D867">
        <v>2</v>
      </c>
      <c r="E867" t="s">
        <v>11</v>
      </c>
      <c r="F867" t="s">
        <v>9</v>
      </c>
      <c r="G867">
        <v>6600.3609999999999</v>
      </c>
      <c r="H867" t="str">
        <f t="shared" si="39"/>
        <v>40-49</v>
      </c>
      <c r="I867" t="str">
        <f t="shared" si="40"/>
        <v>Overweight</v>
      </c>
      <c r="J867" t="str">
        <f t="shared" si="41"/>
        <v>No</v>
      </c>
    </row>
    <row r="868" spans="1:10" x14ac:dyDescent="0.25">
      <c r="A868">
        <v>18</v>
      </c>
      <c r="B868" t="s">
        <v>10</v>
      </c>
      <c r="C868">
        <v>37.29</v>
      </c>
      <c r="D868">
        <v>0</v>
      </c>
      <c r="E868" t="s">
        <v>11</v>
      </c>
      <c r="F868" t="s">
        <v>12</v>
      </c>
      <c r="G868">
        <v>1141.4450999999999</v>
      </c>
      <c r="H868" t="str">
        <f t="shared" si="39"/>
        <v>18-29</v>
      </c>
      <c r="I868" t="str">
        <f t="shared" si="40"/>
        <v>Obese</v>
      </c>
      <c r="J868" t="str">
        <f t="shared" si="41"/>
        <v>No</v>
      </c>
    </row>
    <row r="869" spans="1:10" x14ac:dyDescent="0.25">
      <c r="A869">
        <v>57</v>
      </c>
      <c r="B869" t="s">
        <v>10</v>
      </c>
      <c r="C869">
        <v>43.7</v>
      </c>
      <c r="D869">
        <v>1</v>
      </c>
      <c r="E869" t="s">
        <v>11</v>
      </c>
      <c r="F869" t="s">
        <v>9</v>
      </c>
      <c r="G869">
        <v>11576.13</v>
      </c>
      <c r="H869" t="str">
        <f t="shared" si="39"/>
        <v>50-59</v>
      </c>
      <c r="I869" t="str">
        <f t="shared" si="40"/>
        <v>Obese</v>
      </c>
      <c r="J869" t="str">
        <f t="shared" si="41"/>
        <v>No</v>
      </c>
    </row>
    <row r="870" spans="1:10" x14ac:dyDescent="0.25">
      <c r="A870">
        <v>61</v>
      </c>
      <c r="B870" t="s">
        <v>10</v>
      </c>
      <c r="C870">
        <v>23.655000000000001</v>
      </c>
      <c r="D870">
        <v>0</v>
      </c>
      <c r="E870" t="s">
        <v>11</v>
      </c>
      <c r="F870" t="s">
        <v>14</v>
      </c>
      <c r="G870">
        <v>13129.603450000001</v>
      </c>
      <c r="H870" t="str">
        <f t="shared" si="39"/>
        <v>60+</v>
      </c>
      <c r="I870" t="str">
        <f t="shared" si="40"/>
        <v>Normal</v>
      </c>
      <c r="J870" t="str">
        <f t="shared" si="41"/>
        <v>No</v>
      </c>
    </row>
    <row r="871" spans="1:10" x14ac:dyDescent="0.25">
      <c r="A871">
        <v>25</v>
      </c>
      <c r="B871" t="s">
        <v>7</v>
      </c>
      <c r="C871">
        <v>24.3</v>
      </c>
      <c r="D871">
        <v>3</v>
      </c>
      <c r="E871" t="s">
        <v>11</v>
      </c>
      <c r="F871" t="s">
        <v>9</v>
      </c>
      <c r="G871">
        <v>4391.652</v>
      </c>
      <c r="H871" t="str">
        <f t="shared" si="39"/>
        <v>18-29</v>
      </c>
      <c r="I871" t="str">
        <f t="shared" si="40"/>
        <v>Normal</v>
      </c>
      <c r="J871" t="str">
        <f t="shared" si="41"/>
        <v>No</v>
      </c>
    </row>
    <row r="872" spans="1:10" x14ac:dyDescent="0.25">
      <c r="A872">
        <v>50</v>
      </c>
      <c r="B872" t="s">
        <v>10</v>
      </c>
      <c r="C872">
        <v>36.200000000000003</v>
      </c>
      <c r="D872">
        <v>0</v>
      </c>
      <c r="E872" t="s">
        <v>11</v>
      </c>
      <c r="F872" t="s">
        <v>9</v>
      </c>
      <c r="G872">
        <v>8457.8179999999993</v>
      </c>
      <c r="H872" t="str">
        <f t="shared" si="39"/>
        <v>50-59</v>
      </c>
      <c r="I872" t="str">
        <f t="shared" si="40"/>
        <v>Obese</v>
      </c>
      <c r="J872" t="str">
        <f t="shared" si="41"/>
        <v>No</v>
      </c>
    </row>
    <row r="873" spans="1:10" x14ac:dyDescent="0.25">
      <c r="A873">
        <v>26</v>
      </c>
      <c r="B873" t="s">
        <v>7</v>
      </c>
      <c r="C873">
        <v>29.48</v>
      </c>
      <c r="D873">
        <v>1</v>
      </c>
      <c r="E873" t="s">
        <v>11</v>
      </c>
      <c r="F873" t="s">
        <v>12</v>
      </c>
      <c r="G873">
        <v>3392.3652000000002</v>
      </c>
      <c r="H873" t="str">
        <f t="shared" si="39"/>
        <v>18-29</v>
      </c>
      <c r="I873" t="str">
        <f t="shared" si="40"/>
        <v>Overweight</v>
      </c>
      <c r="J873" t="str">
        <f t="shared" si="41"/>
        <v>No</v>
      </c>
    </row>
    <row r="874" spans="1:10" x14ac:dyDescent="0.25">
      <c r="A874">
        <v>42</v>
      </c>
      <c r="B874" t="s">
        <v>10</v>
      </c>
      <c r="C874">
        <v>24.86</v>
      </c>
      <c r="D874">
        <v>0</v>
      </c>
      <c r="E874" t="s">
        <v>11</v>
      </c>
      <c r="F874" t="s">
        <v>12</v>
      </c>
      <c r="G874">
        <v>5966.8873999999996</v>
      </c>
      <c r="H874" t="str">
        <f t="shared" si="39"/>
        <v>40-49</v>
      </c>
      <c r="I874" t="str">
        <f t="shared" si="40"/>
        <v>Normal</v>
      </c>
      <c r="J874" t="str">
        <f t="shared" si="41"/>
        <v>No</v>
      </c>
    </row>
    <row r="875" spans="1:10" x14ac:dyDescent="0.25">
      <c r="A875">
        <v>43</v>
      </c>
      <c r="B875" t="s">
        <v>10</v>
      </c>
      <c r="C875">
        <v>30.1</v>
      </c>
      <c r="D875">
        <v>1</v>
      </c>
      <c r="E875" t="s">
        <v>11</v>
      </c>
      <c r="F875" t="s">
        <v>9</v>
      </c>
      <c r="G875">
        <v>6849.0259999999998</v>
      </c>
      <c r="H875" t="str">
        <f t="shared" si="39"/>
        <v>40-49</v>
      </c>
      <c r="I875" t="str">
        <f t="shared" si="40"/>
        <v>Obese</v>
      </c>
      <c r="J875" t="str">
        <f t="shared" si="41"/>
        <v>No</v>
      </c>
    </row>
    <row r="876" spans="1:10" x14ac:dyDescent="0.25">
      <c r="A876">
        <v>44</v>
      </c>
      <c r="B876" t="s">
        <v>10</v>
      </c>
      <c r="C876">
        <v>21.85</v>
      </c>
      <c r="D876">
        <v>3</v>
      </c>
      <c r="E876" t="s">
        <v>11</v>
      </c>
      <c r="F876" t="s">
        <v>14</v>
      </c>
      <c r="G876">
        <v>8891.1394999999993</v>
      </c>
      <c r="H876" t="str">
        <f t="shared" si="39"/>
        <v>40-49</v>
      </c>
      <c r="I876" t="str">
        <f t="shared" si="40"/>
        <v>Normal</v>
      </c>
      <c r="J876" t="str">
        <f t="shared" si="41"/>
        <v>No</v>
      </c>
    </row>
    <row r="877" spans="1:10" x14ac:dyDescent="0.25">
      <c r="A877">
        <v>23</v>
      </c>
      <c r="B877" t="s">
        <v>7</v>
      </c>
      <c r="C877">
        <v>28.12</v>
      </c>
      <c r="D877">
        <v>0</v>
      </c>
      <c r="E877" t="s">
        <v>11</v>
      </c>
      <c r="F877" t="s">
        <v>13</v>
      </c>
      <c r="G877">
        <v>2690.1138000000001</v>
      </c>
      <c r="H877" t="str">
        <f t="shared" si="39"/>
        <v>18-29</v>
      </c>
      <c r="I877" t="str">
        <f t="shared" si="40"/>
        <v>Overweight</v>
      </c>
      <c r="J877" t="str">
        <f t="shared" si="41"/>
        <v>No</v>
      </c>
    </row>
    <row r="878" spans="1:10" x14ac:dyDescent="0.25">
      <c r="A878">
        <v>49</v>
      </c>
      <c r="B878" t="s">
        <v>7</v>
      </c>
      <c r="C878">
        <v>27.1</v>
      </c>
      <c r="D878">
        <v>1</v>
      </c>
      <c r="E878" t="s">
        <v>11</v>
      </c>
      <c r="F878" t="s">
        <v>9</v>
      </c>
      <c r="G878">
        <v>26140.3603</v>
      </c>
      <c r="H878" t="str">
        <f t="shared" si="39"/>
        <v>40-49</v>
      </c>
      <c r="I878" t="str">
        <f t="shared" si="40"/>
        <v>Overweight</v>
      </c>
      <c r="J878" t="str">
        <f t="shared" si="41"/>
        <v>Yes</v>
      </c>
    </row>
    <row r="879" spans="1:10" x14ac:dyDescent="0.25">
      <c r="A879">
        <v>33</v>
      </c>
      <c r="B879" t="s">
        <v>10</v>
      </c>
      <c r="C879">
        <v>33.44</v>
      </c>
      <c r="D879">
        <v>5</v>
      </c>
      <c r="E879" t="s">
        <v>11</v>
      </c>
      <c r="F879" t="s">
        <v>12</v>
      </c>
      <c r="G879">
        <v>6653.7885999999999</v>
      </c>
      <c r="H879" t="str">
        <f t="shared" si="39"/>
        <v>30-39</v>
      </c>
      <c r="I879" t="str">
        <f t="shared" si="40"/>
        <v>Obese</v>
      </c>
      <c r="J879" t="str">
        <f t="shared" si="41"/>
        <v>No</v>
      </c>
    </row>
    <row r="880" spans="1:10" x14ac:dyDescent="0.25">
      <c r="A880">
        <v>41</v>
      </c>
      <c r="B880" t="s">
        <v>10</v>
      </c>
      <c r="C880">
        <v>28.8</v>
      </c>
      <c r="D880">
        <v>1</v>
      </c>
      <c r="E880" t="s">
        <v>11</v>
      </c>
      <c r="F880" t="s">
        <v>9</v>
      </c>
      <c r="G880">
        <v>6282.2349999999997</v>
      </c>
      <c r="H880" t="str">
        <f t="shared" si="39"/>
        <v>40-49</v>
      </c>
      <c r="I880" t="str">
        <f t="shared" si="40"/>
        <v>Overweight</v>
      </c>
      <c r="J880" t="str">
        <f t="shared" si="41"/>
        <v>No</v>
      </c>
    </row>
    <row r="881" spans="1:10" x14ac:dyDescent="0.25">
      <c r="A881">
        <v>37</v>
      </c>
      <c r="B881" t="s">
        <v>7</v>
      </c>
      <c r="C881">
        <v>29.5</v>
      </c>
      <c r="D881">
        <v>2</v>
      </c>
      <c r="E881" t="s">
        <v>11</v>
      </c>
      <c r="F881" t="s">
        <v>9</v>
      </c>
      <c r="G881">
        <v>6311.9520000000002</v>
      </c>
      <c r="H881" t="str">
        <f t="shared" si="39"/>
        <v>30-39</v>
      </c>
      <c r="I881" t="str">
        <f t="shared" si="40"/>
        <v>Overweight</v>
      </c>
      <c r="J881" t="str">
        <f t="shared" si="41"/>
        <v>No</v>
      </c>
    </row>
    <row r="882" spans="1:10" x14ac:dyDescent="0.25">
      <c r="A882">
        <v>22</v>
      </c>
      <c r="B882" t="s">
        <v>10</v>
      </c>
      <c r="C882">
        <v>34.799999999999997</v>
      </c>
      <c r="D882">
        <v>3</v>
      </c>
      <c r="E882" t="s">
        <v>11</v>
      </c>
      <c r="F882" t="s">
        <v>9</v>
      </c>
      <c r="G882">
        <v>3443.0639999999999</v>
      </c>
      <c r="H882" t="str">
        <f t="shared" si="39"/>
        <v>18-29</v>
      </c>
      <c r="I882" t="str">
        <f t="shared" si="40"/>
        <v>Obese</v>
      </c>
      <c r="J882" t="str">
        <f t="shared" si="41"/>
        <v>No</v>
      </c>
    </row>
    <row r="883" spans="1:10" x14ac:dyDescent="0.25">
      <c r="A883">
        <v>23</v>
      </c>
      <c r="B883" t="s">
        <v>10</v>
      </c>
      <c r="C883">
        <v>27.36</v>
      </c>
      <c r="D883">
        <v>1</v>
      </c>
      <c r="E883" t="s">
        <v>11</v>
      </c>
      <c r="F883" t="s">
        <v>13</v>
      </c>
      <c r="G883">
        <v>2789.0574000000001</v>
      </c>
      <c r="H883" t="str">
        <f t="shared" si="39"/>
        <v>18-29</v>
      </c>
      <c r="I883" t="str">
        <f t="shared" si="40"/>
        <v>Overweight</v>
      </c>
      <c r="J883" t="str">
        <f t="shared" si="41"/>
        <v>No</v>
      </c>
    </row>
    <row r="884" spans="1:10" x14ac:dyDescent="0.25">
      <c r="A884">
        <v>21</v>
      </c>
      <c r="B884" t="s">
        <v>7</v>
      </c>
      <c r="C884">
        <v>22.135000000000002</v>
      </c>
      <c r="D884">
        <v>0</v>
      </c>
      <c r="E884" t="s">
        <v>11</v>
      </c>
      <c r="F884" t="s">
        <v>14</v>
      </c>
      <c r="G884">
        <v>2585.8506499999999</v>
      </c>
      <c r="H884" t="str">
        <f t="shared" si="39"/>
        <v>18-29</v>
      </c>
      <c r="I884" t="str">
        <f t="shared" si="40"/>
        <v>Normal</v>
      </c>
      <c r="J884" t="str">
        <f t="shared" si="41"/>
        <v>No</v>
      </c>
    </row>
    <row r="885" spans="1:10" x14ac:dyDescent="0.25">
      <c r="A885">
        <v>51</v>
      </c>
      <c r="B885" t="s">
        <v>7</v>
      </c>
      <c r="C885">
        <v>37.049999999999997</v>
      </c>
      <c r="D885">
        <v>3</v>
      </c>
      <c r="E885" t="s">
        <v>8</v>
      </c>
      <c r="F885" t="s">
        <v>14</v>
      </c>
      <c r="G885">
        <v>46255.112500000003</v>
      </c>
      <c r="H885" t="str">
        <f t="shared" si="39"/>
        <v>50-59</v>
      </c>
      <c r="I885" t="str">
        <f t="shared" si="40"/>
        <v>Obese</v>
      </c>
      <c r="J885" t="str">
        <f t="shared" si="41"/>
        <v>Yes</v>
      </c>
    </row>
    <row r="886" spans="1:10" x14ac:dyDescent="0.25">
      <c r="A886">
        <v>25</v>
      </c>
      <c r="B886" t="s">
        <v>10</v>
      </c>
      <c r="C886">
        <v>26.695</v>
      </c>
      <c r="D886">
        <v>4</v>
      </c>
      <c r="E886" t="s">
        <v>11</v>
      </c>
      <c r="F886" t="s">
        <v>13</v>
      </c>
      <c r="G886">
        <v>4877.9810500000003</v>
      </c>
      <c r="H886" t="str">
        <f t="shared" si="39"/>
        <v>18-29</v>
      </c>
      <c r="I886" t="str">
        <f t="shared" si="40"/>
        <v>Overweight</v>
      </c>
      <c r="J886" t="str">
        <f t="shared" si="41"/>
        <v>No</v>
      </c>
    </row>
    <row r="887" spans="1:10" x14ac:dyDescent="0.25">
      <c r="A887">
        <v>32</v>
      </c>
      <c r="B887" t="s">
        <v>10</v>
      </c>
      <c r="C887">
        <v>28.93</v>
      </c>
      <c r="D887">
        <v>1</v>
      </c>
      <c r="E887" t="s">
        <v>8</v>
      </c>
      <c r="F887" t="s">
        <v>12</v>
      </c>
      <c r="G887">
        <v>19719.6947</v>
      </c>
      <c r="H887" t="str">
        <f t="shared" si="39"/>
        <v>30-39</v>
      </c>
      <c r="I887" t="str">
        <f t="shared" si="40"/>
        <v>Overweight</v>
      </c>
      <c r="J887" t="str">
        <f t="shared" si="41"/>
        <v>No</v>
      </c>
    </row>
    <row r="888" spans="1:10" x14ac:dyDescent="0.25">
      <c r="A888">
        <v>57</v>
      </c>
      <c r="B888" t="s">
        <v>10</v>
      </c>
      <c r="C888">
        <v>28.975000000000001</v>
      </c>
      <c r="D888">
        <v>0</v>
      </c>
      <c r="E888" t="s">
        <v>8</v>
      </c>
      <c r="F888" t="s">
        <v>14</v>
      </c>
      <c r="G888">
        <v>27218.437249999999</v>
      </c>
      <c r="H888" t="str">
        <f t="shared" si="39"/>
        <v>50-59</v>
      </c>
      <c r="I888" t="str">
        <f t="shared" si="40"/>
        <v>Overweight</v>
      </c>
      <c r="J888" t="str">
        <f t="shared" si="41"/>
        <v>Yes</v>
      </c>
    </row>
    <row r="889" spans="1:10" x14ac:dyDescent="0.25">
      <c r="A889">
        <v>36</v>
      </c>
      <c r="B889" t="s">
        <v>7</v>
      </c>
      <c r="C889">
        <v>30.02</v>
      </c>
      <c r="D889">
        <v>0</v>
      </c>
      <c r="E889" t="s">
        <v>11</v>
      </c>
      <c r="F889" t="s">
        <v>13</v>
      </c>
      <c r="G889">
        <v>5272.1758</v>
      </c>
      <c r="H889" t="str">
        <f t="shared" si="39"/>
        <v>30-39</v>
      </c>
      <c r="I889" t="str">
        <f t="shared" si="40"/>
        <v>Obese</v>
      </c>
      <c r="J889" t="str">
        <f t="shared" si="41"/>
        <v>No</v>
      </c>
    </row>
    <row r="890" spans="1:10" x14ac:dyDescent="0.25">
      <c r="A890">
        <v>22</v>
      </c>
      <c r="B890" t="s">
        <v>10</v>
      </c>
      <c r="C890">
        <v>39.5</v>
      </c>
      <c r="D890">
        <v>0</v>
      </c>
      <c r="E890" t="s">
        <v>11</v>
      </c>
      <c r="F890" t="s">
        <v>9</v>
      </c>
      <c r="G890">
        <v>1682.597</v>
      </c>
      <c r="H890" t="str">
        <f t="shared" si="39"/>
        <v>18-29</v>
      </c>
      <c r="I890" t="str">
        <f t="shared" si="40"/>
        <v>Obese</v>
      </c>
      <c r="J890" t="str">
        <f t="shared" si="41"/>
        <v>No</v>
      </c>
    </row>
    <row r="891" spans="1:10" x14ac:dyDescent="0.25">
      <c r="A891">
        <v>57</v>
      </c>
      <c r="B891" t="s">
        <v>10</v>
      </c>
      <c r="C891">
        <v>33.630000000000003</v>
      </c>
      <c r="D891">
        <v>1</v>
      </c>
      <c r="E891" t="s">
        <v>11</v>
      </c>
      <c r="F891" t="s">
        <v>13</v>
      </c>
      <c r="G891">
        <v>11945.1327</v>
      </c>
      <c r="H891" t="str">
        <f t="shared" si="39"/>
        <v>50-59</v>
      </c>
      <c r="I891" t="str">
        <f t="shared" si="40"/>
        <v>Obese</v>
      </c>
      <c r="J891" t="str">
        <f t="shared" si="41"/>
        <v>No</v>
      </c>
    </row>
    <row r="892" spans="1:10" x14ac:dyDescent="0.25">
      <c r="A892">
        <v>64</v>
      </c>
      <c r="B892" t="s">
        <v>7</v>
      </c>
      <c r="C892">
        <v>26.885000000000002</v>
      </c>
      <c r="D892">
        <v>0</v>
      </c>
      <c r="E892" t="s">
        <v>8</v>
      </c>
      <c r="F892" t="s">
        <v>13</v>
      </c>
      <c r="G892">
        <v>29330.98315</v>
      </c>
      <c r="H892" t="str">
        <f t="shared" si="39"/>
        <v>60+</v>
      </c>
      <c r="I892" t="str">
        <f t="shared" si="40"/>
        <v>Overweight</v>
      </c>
      <c r="J892" t="str">
        <f t="shared" si="41"/>
        <v>Yes</v>
      </c>
    </row>
    <row r="893" spans="1:10" x14ac:dyDescent="0.25">
      <c r="A893">
        <v>36</v>
      </c>
      <c r="B893" t="s">
        <v>7</v>
      </c>
      <c r="C893">
        <v>29.04</v>
      </c>
      <c r="D893">
        <v>4</v>
      </c>
      <c r="E893" t="s">
        <v>11</v>
      </c>
      <c r="F893" t="s">
        <v>12</v>
      </c>
      <c r="G893">
        <v>7243.8136000000004</v>
      </c>
      <c r="H893" t="str">
        <f t="shared" si="39"/>
        <v>30-39</v>
      </c>
      <c r="I893" t="str">
        <f t="shared" si="40"/>
        <v>Overweight</v>
      </c>
      <c r="J893" t="str">
        <f t="shared" si="41"/>
        <v>No</v>
      </c>
    </row>
    <row r="894" spans="1:10" x14ac:dyDescent="0.25">
      <c r="A894">
        <v>54</v>
      </c>
      <c r="B894" t="s">
        <v>10</v>
      </c>
      <c r="C894">
        <v>24.035</v>
      </c>
      <c r="D894">
        <v>0</v>
      </c>
      <c r="E894" t="s">
        <v>11</v>
      </c>
      <c r="F894" t="s">
        <v>14</v>
      </c>
      <c r="G894">
        <v>10422.916649999999</v>
      </c>
      <c r="H894" t="str">
        <f t="shared" si="39"/>
        <v>50-59</v>
      </c>
      <c r="I894" t="str">
        <f t="shared" si="40"/>
        <v>Normal</v>
      </c>
      <c r="J894" t="str">
        <f t="shared" si="41"/>
        <v>No</v>
      </c>
    </row>
    <row r="895" spans="1:10" x14ac:dyDescent="0.25">
      <c r="A895">
        <v>47</v>
      </c>
      <c r="B895" t="s">
        <v>10</v>
      </c>
      <c r="C895">
        <v>38.94</v>
      </c>
      <c r="D895">
        <v>2</v>
      </c>
      <c r="E895" t="s">
        <v>8</v>
      </c>
      <c r="F895" t="s">
        <v>12</v>
      </c>
      <c r="G895">
        <v>44202.653599999998</v>
      </c>
      <c r="H895" t="str">
        <f t="shared" si="39"/>
        <v>40-49</v>
      </c>
      <c r="I895" t="str">
        <f t="shared" si="40"/>
        <v>Obese</v>
      </c>
      <c r="J895" t="str">
        <f t="shared" si="41"/>
        <v>Yes</v>
      </c>
    </row>
    <row r="896" spans="1:10" x14ac:dyDescent="0.25">
      <c r="A896">
        <v>62</v>
      </c>
      <c r="B896" t="s">
        <v>10</v>
      </c>
      <c r="C896">
        <v>32.11</v>
      </c>
      <c r="D896">
        <v>0</v>
      </c>
      <c r="E896" t="s">
        <v>11</v>
      </c>
      <c r="F896" t="s">
        <v>14</v>
      </c>
      <c r="G896">
        <v>13555.0049</v>
      </c>
      <c r="H896" t="str">
        <f t="shared" si="39"/>
        <v>60+</v>
      </c>
      <c r="I896" t="str">
        <f t="shared" si="40"/>
        <v>Obese</v>
      </c>
      <c r="J896" t="str">
        <f t="shared" si="41"/>
        <v>No</v>
      </c>
    </row>
    <row r="897" spans="1:10" x14ac:dyDescent="0.25">
      <c r="A897">
        <v>61</v>
      </c>
      <c r="B897" t="s">
        <v>7</v>
      </c>
      <c r="C897">
        <v>44</v>
      </c>
      <c r="D897">
        <v>0</v>
      </c>
      <c r="E897" t="s">
        <v>11</v>
      </c>
      <c r="F897" t="s">
        <v>9</v>
      </c>
      <c r="G897">
        <v>13063.883</v>
      </c>
      <c r="H897" t="str">
        <f t="shared" si="39"/>
        <v>60+</v>
      </c>
      <c r="I897" t="str">
        <f t="shared" si="40"/>
        <v>Obese</v>
      </c>
      <c r="J897" t="str">
        <f t="shared" si="41"/>
        <v>No</v>
      </c>
    </row>
    <row r="898" spans="1:10" x14ac:dyDescent="0.25">
      <c r="A898">
        <v>43</v>
      </c>
      <c r="B898" t="s">
        <v>7</v>
      </c>
      <c r="C898">
        <v>20.045000000000002</v>
      </c>
      <c r="D898">
        <v>2</v>
      </c>
      <c r="E898" t="s">
        <v>8</v>
      </c>
      <c r="F898" t="s">
        <v>14</v>
      </c>
      <c r="G898">
        <v>19798.054550000001</v>
      </c>
      <c r="H898" t="str">
        <f t="shared" ref="H898:H961" si="42">IF(A898&lt;30, "18-29", IF(A898&lt;40, "30-39", IF(A898&lt;50, "40-49", IF(A898&lt;60, "50-59", "60+"))))</f>
        <v>40-49</v>
      </c>
      <c r="I898" t="str">
        <f t="shared" ref="I898:I961" si="43">IF(C898&lt;18.5, "Underweight", IF(C898&lt;25, "Normal", IF(C898&lt;30,"Overweight","Obese")))</f>
        <v>Normal</v>
      </c>
      <c r="J898" t="str">
        <f t="shared" ref="J898:J961" si="44">IF(G898&gt;20000,"Yes","No")</f>
        <v>No</v>
      </c>
    </row>
    <row r="899" spans="1:10" x14ac:dyDescent="0.25">
      <c r="A899">
        <v>19</v>
      </c>
      <c r="B899" t="s">
        <v>10</v>
      </c>
      <c r="C899">
        <v>25.555</v>
      </c>
      <c r="D899">
        <v>1</v>
      </c>
      <c r="E899" t="s">
        <v>11</v>
      </c>
      <c r="F899" t="s">
        <v>13</v>
      </c>
      <c r="G899">
        <v>2221.5644499999999</v>
      </c>
      <c r="H899" t="str">
        <f t="shared" si="42"/>
        <v>18-29</v>
      </c>
      <c r="I899" t="str">
        <f t="shared" si="43"/>
        <v>Overweight</v>
      </c>
      <c r="J899" t="str">
        <f t="shared" si="44"/>
        <v>No</v>
      </c>
    </row>
    <row r="900" spans="1:10" x14ac:dyDescent="0.25">
      <c r="A900">
        <v>18</v>
      </c>
      <c r="B900" t="s">
        <v>7</v>
      </c>
      <c r="C900">
        <v>40.26</v>
      </c>
      <c r="D900">
        <v>0</v>
      </c>
      <c r="E900" t="s">
        <v>11</v>
      </c>
      <c r="F900" t="s">
        <v>12</v>
      </c>
      <c r="G900">
        <v>1634.5734</v>
      </c>
      <c r="H900" t="str">
        <f t="shared" si="42"/>
        <v>18-29</v>
      </c>
      <c r="I900" t="str">
        <f t="shared" si="43"/>
        <v>Obese</v>
      </c>
      <c r="J900" t="str">
        <f t="shared" si="44"/>
        <v>No</v>
      </c>
    </row>
    <row r="901" spans="1:10" x14ac:dyDescent="0.25">
      <c r="A901">
        <v>19</v>
      </c>
      <c r="B901" t="s">
        <v>7</v>
      </c>
      <c r="C901">
        <v>22.515000000000001</v>
      </c>
      <c r="D901">
        <v>0</v>
      </c>
      <c r="E901" t="s">
        <v>11</v>
      </c>
      <c r="F901" t="s">
        <v>13</v>
      </c>
      <c r="G901">
        <v>2117.3388500000001</v>
      </c>
      <c r="H901" t="str">
        <f t="shared" si="42"/>
        <v>18-29</v>
      </c>
      <c r="I901" t="str">
        <f t="shared" si="43"/>
        <v>Normal</v>
      </c>
      <c r="J901" t="str">
        <f t="shared" si="44"/>
        <v>No</v>
      </c>
    </row>
    <row r="902" spans="1:10" x14ac:dyDescent="0.25">
      <c r="A902">
        <v>49</v>
      </c>
      <c r="B902" t="s">
        <v>10</v>
      </c>
      <c r="C902">
        <v>22.515000000000001</v>
      </c>
      <c r="D902">
        <v>0</v>
      </c>
      <c r="E902" t="s">
        <v>11</v>
      </c>
      <c r="F902" t="s">
        <v>14</v>
      </c>
      <c r="G902">
        <v>8688.8588500000005</v>
      </c>
      <c r="H902" t="str">
        <f t="shared" si="42"/>
        <v>40-49</v>
      </c>
      <c r="I902" t="str">
        <f t="shared" si="43"/>
        <v>Normal</v>
      </c>
      <c r="J902" t="str">
        <f t="shared" si="44"/>
        <v>No</v>
      </c>
    </row>
    <row r="903" spans="1:10" x14ac:dyDescent="0.25">
      <c r="A903">
        <v>60</v>
      </c>
      <c r="B903" t="s">
        <v>10</v>
      </c>
      <c r="C903">
        <v>40.92</v>
      </c>
      <c r="D903">
        <v>0</v>
      </c>
      <c r="E903" t="s">
        <v>8</v>
      </c>
      <c r="F903" t="s">
        <v>12</v>
      </c>
      <c r="G903">
        <v>48673.558799999999</v>
      </c>
      <c r="H903" t="str">
        <f t="shared" si="42"/>
        <v>60+</v>
      </c>
      <c r="I903" t="str">
        <f t="shared" si="43"/>
        <v>Obese</v>
      </c>
      <c r="J903" t="str">
        <f t="shared" si="44"/>
        <v>Yes</v>
      </c>
    </row>
    <row r="904" spans="1:10" x14ac:dyDescent="0.25">
      <c r="A904">
        <v>26</v>
      </c>
      <c r="B904" t="s">
        <v>10</v>
      </c>
      <c r="C904">
        <v>27.265000000000001</v>
      </c>
      <c r="D904">
        <v>3</v>
      </c>
      <c r="E904" t="s">
        <v>11</v>
      </c>
      <c r="F904" t="s">
        <v>14</v>
      </c>
      <c r="G904">
        <v>4661.2863500000003</v>
      </c>
      <c r="H904" t="str">
        <f t="shared" si="42"/>
        <v>18-29</v>
      </c>
      <c r="I904" t="str">
        <f t="shared" si="43"/>
        <v>Overweight</v>
      </c>
      <c r="J904" t="str">
        <f t="shared" si="44"/>
        <v>No</v>
      </c>
    </row>
    <row r="905" spans="1:10" x14ac:dyDescent="0.25">
      <c r="A905">
        <v>49</v>
      </c>
      <c r="B905" t="s">
        <v>10</v>
      </c>
      <c r="C905">
        <v>36.85</v>
      </c>
      <c r="D905">
        <v>0</v>
      </c>
      <c r="E905" t="s">
        <v>11</v>
      </c>
      <c r="F905" t="s">
        <v>12</v>
      </c>
      <c r="G905">
        <v>8125.7844999999998</v>
      </c>
      <c r="H905" t="str">
        <f t="shared" si="42"/>
        <v>40-49</v>
      </c>
      <c r="I905" t="str">
        <f t="shared" si="43"/>
        <v>Obese</v>
      </c>
      <c r="J905" t="str">
        <f t="shared" si="44"/>
        <v>No</v>
      </c>
    </row>
    <row r="906" spans="1:10" x14ac:dyDescent="0.25">
      <c r="A906">
        <v>60</v>
      </c>
      <c r="B906" t="s">
        <v>7</v>
      </c>
      <c r="C906">
        <v>35.1</v>
      </c>
      <c r="D906">
        <v>0</v>
      </c>
      <c r="E906" t="s">
        <v>11</v>
      </c>
      <c r="F906" t="s">
        <v>9</v>
      </c>
      <c r="G906">
        <v>12644.589</v>
      </c>
      <c r="H906" t="str">
        <f t="shared" si="42"/>
        <v>60+</v>
      </c>
      <c r="I906" t="str">
        <f t="shared" si="43"/>
        <v>Obese</v>
      </c>
      <c r="J906" t="str">
        <f t="shared" si="44"/>
        <v>No</v>
      </c>
    </row>
    <row r="907" spans="1:10" x14ac:dyDescent="0.25">
      <c r="A907">
        <v>26</v>
      </c>
      <c r="B907" t="s">
        <v>7</v>
      </c>
      <c r="C907">
        <v>29.355</v>
      </c>
      <c r="D907">
        <v>2</v>
      </c>
      <c r="E907" t="s">
        <v>11</v>
      </c>
      <c r="F907" t="s">
        <v>14</v>
      </c>
      <c r="G907">
        <v>4564.1914500000003</v>
      </c>
      <c r="H907" t="str">
        <f t="shared" si="42"/>
        <v>18-29</v>
      </c>
      <c r="I907" t="str">
        <f t="shared" si="43"/>
        <v>Overweight</v>
      </c>
      <c r="J907" t="str">
        <f t="shared" si="44"/>
        <v>No</v>
      </c>
    </row>
    <row r="908" spans="1:10" x14ac:dyDescent="0.25">
      <c r="A908">
        <v>27</v>
      </c>
      <c r="B908" t="s">
        <v>10</v>
      </c>
      <c r="C908">
        <v>32.585000000000001</v>
      </c>
      <c r="D908">
        <v>3</v>
      </c>
      <c r="E908" t="s">
        <v>11</v>
      </c>
      <c r="F908" t="s">
        <v>14</v>
      </c>
      <c r="G908">
        <v>4846.9201499999999</v>
      </c>
      <c r="H908" t="str">
        <f t="shared" si="42"/>
        <v>18-29</v>
      </c>
      <c r="I908" t="str">
        <f t="shared" si="43"/>
        <v>Obese</v>
      </c>
      <c r="J908" t="str">
        <f t="shared" si="44"/>
        <v>No</v>
      </c>
    </row>
    <row r="909" spans="1:10" x14ac:dyDescent="0.25">
      <c r="A909">
        <v>44</v>
      </c>
      <c r="B909" t="s">
        <v>7</v>
      </c>
      <c r="C909">
        <v>32.340000000000003</v>
      </c>
      <c r="D909">
        <v>1</v>
      </c>
      <c r="E909" t="s">
        <v>11</v>
      </c>
      <c r="F909" t="s">
        <v>12</v>
      </c>
      <c r="G909">
        <v>7633.7205999999996</v>
      </c>
      <c r="H909" t="str">
        <f t="shared" si="42"/>
        <v>40-49</v>
      </c>
      <c r="I909" t="str">
        <f t="shared" si="43"/>
        <v>Obese</v>
      </c>
      <c r="J909" t="str">
        <f t="shared" si="44"/>
        <v>No</v>
      </c>
    </row>
    <row r="910" spans="1:10" x14ac:dyDescent="0.25">
      <c r="A910">
        <v>63</v>
      </c>
      <c r="B910" t="s">
        <v>10</v>
      </c>
      <c r="C910">
        <v>39.799999999999997</v>
      </c>
      <c r="D910">
        <v>3</v>
      </c>
      <c r="E910" t="s">
        <v>11</v>
      </c>
      <c r="F910" t="s">
        <v>9</v>
      </c>
      <c r="G910">
        <v>15170.069</v>
      </c>
      <c r="H910" t="str">
        <f t="shared" si="42"/>
        <v>60+</v>
      </c>
      <c r="I910" t="str">
        <f t="shared" si="43"/>
        <v>Obese</v>
      </c>
      <c r="J910" t="str">
        <f t="shared" si="44"/>
        <v>No</v>
      </c>
    </row>
    <row r="911" spans="1:10" x14ac:dyDescent="0.25">
      <c r="A911">
        <v>32</v>
      </c>
      <c r="B911" t="s">
        <v>7</v>
      </c>
      <c r="C911">
        <v>24.6</v>
      </c>
      <c r="D911">
        <v>0</v>
      </c>
      <c r="E911" t="s">
        <v>8</v>
      </c>
      <c r="F911" t="s">
        <v>9</v>
      </c>
      <c r="G911">
        <v>17496.306</v>
      </c>
      <c r="H911" t="str">
        <f t="shared" si="42"/>
        <v>30-39</v>
      </c>
      <c r="I911" t="str">
        <f t="shared" si="43"/>
        <v>Normal</v>
      </c>
      <c r="J911" t="str">
        <f t="shared" si="44"/>
        <v>No</v>
      </c>
    </row>
    <row r="912" spans="1:10" x14ac:dyDescent="0.25">
      <c r="A912">
        <v>22</v>
      </c>
      <c r="B912" t="s">
        <v>10</v>
      </c>
      <c r="C912">
        <v>28.31</v>
      </c>
      <c r="D912">
        <v>1</v>
      </c>
      <c r="E912" t="s">
        <v>11</v>
      </c>
      <c r="F912" t="s">
        <v>13</v>
      </c>
      <c r="G912">
        <v>2639.0428999999999</v>
      </c>
      <c r="H912" t="str">
        <f t="shared" si="42"/>
        <v>18-29</v>
      </c>
      <c r="I912" t="str">
        <f t="shared" si="43"/>
        <v>Overweight</v>
      </c>
      <c r="J912" t="str">
        <f t="shared" si="44"/>
        <v>No</v>
      </c>
    </row>
    <row r="913" spans="1:10" x14ac:dyDescent="0.25">
      <c r="A913">
        <v>18</v>
      </c>
      <c r="B913" t="s">
        <v>10</v>
      </c>
      <c r="C913">
        <v>31.73</v>
      </c>
      <c r="D913">
        <v>0</v>
      </c>
      <c r="E913" t="s">
        <v>8</v>
      </c>
      <c r="F913" t="s">
        <v>14</v>
      </c>
      <c r="G913">
        <v>33732.686699999998</v>
      </c>
      <c r="H913" t="str">
        <f t="shared" si="42"/>
        <v>18-29</v>
      </c>
      <c r="I913" t="str">
        <f t="shared" si="43"/>
        <v>Obese</v>
      </c>
      <c r="J913" t="str">
        <f t="shared" si="44"/>
        <v>Yes</v>
      </c>
    </row>
    <row r="914" spans="1:10" x14ac:dyDescent="0.25">
      <c r="A914">
        <v>59</v>
      </c>
      <c r="B914" t="s">
        <v>7</v>
      </c>
      <c r="C914">
        <v>26.695</v>
      </c>
      <c r="D914">
        <v>3</v>
      </c>
      <c r="E914" t="s">
        <v>11</v>
      </c>
      <c r="F914" t="s">
        <v>13</v>
      </c>
      <c r="G914">
        <v>14382.709049999999</v>
      </c>
      <c r="H914" t="str">
        <f t="shared" si="42"/>
        <v>50-59</v>
      </c>
      <c r="I914" t="str">
        <f t="shared" si="43"/>
        <v>Overweight</v>
      </c>
      <c r="J914" t="str">
        <f t="shared" si="44"/>
        <v>No</v>
      </c>
    </row>
    <row r="915" spans="1:10" x14ac:dyDescent="0.25">
      <c r="A915">
        <v>44</v>
      </c>
      <c r="B915" t="s">
        <v>7</v>
      </c>
      <c r="C915">
        <v>27.5</v>
      </c>
      <c r="D915">
        <v>1</v>
      </c>
      <c r="E915" t="s">
        <v>11</v>
      </c>
      <c r="F915" t="s">
        <v>9</v>
      </c>
      <c r="G915">
        <v>7626.9930000000004</v>
      </c>
      <c r="H915" t="str">
        <f t="shared" si="42"/>
        <v>40-49</v>
      </c>
      <c r="I915" t="str">
        <f t="shared" si="43"/>
        <v>Overweight</v>
      </c>
      <c r="J915" t="str">
        <f t="shared" si="44"/>
        <v>No</v>
      </c>
    </row>
    <row r="916" spans="1:10" x14ac:dyDescent="0.25">
      <c r="A916">
        <v>33</v>
      </c>
      <c r="B916" t="s">
        <v>10</v>
      </c>
      <c r="C916">
        <v>24.605</v>
      </c>
      <c r="D916">
        <v>2</v>
      </c>
      <c r="E916" t="s">
        <v>11</v>
      </c>
      <c r="F916" t="s">
        <v>13</v>
      </c>
      <c r="G916">
        <v>5257.5079500000002</v>
      </c>
      <c r="H916" t="str">
        <f t="shared" si="42"/>
        <v>30-39</v>
      </c>
      <c r="I916" t="str">
        <f t="shared" si="43"/>
        <v>Normal</v>
      </c>
      <c r="J916" t="str">
        <f t="shared" si="44"/>
        <v>No</v>
      </c>
    </row>
    <row r="917" spans="1:10" x14ac:dyDescent="0.25">
      <c r="A917">
        <v>24</v>
      </c>
      <c r="B917" t="s">
        <v>7</v>
      </c>
      <c r="C917">
        <v>33.99</v>
      </c>
      <c r="D917">
        <v>0</v>
      </c>
      <c r="E917" t="s">
        <v>11</v>
      </c>
      <c r="F917" t="s">
        <v>12</v>
      </c>
      <c r="G917">
        <v>2473.3341</v>
      </c>
      <c r="H917" t="str">
        <f t="shared" si="42"/>
        <v>18-29</v>
      </c>
      <c r="I917" t="str">
        <f t="shared" si="43"/>
        <v>Obese</v>
      </c>
      <c r="J917" t="str">
        <f t="shared" si="44"/>
        <v>No</v>
      </c>
    </row>
    <row r="918" spans="1:10" x14ac:dyDescent="0.25">
      <c r="A918">
        <v>43</v>
      </c>
      <c r="B918" t="s">
        <v>7</v>
      </c>
      <c r="C918">
        <v>26.885000000000002</v>
      </c>
      <c r="D918">
        <v>0</v>
      </c>
      <c r="E918" t="s">
        <v>8</v>
      </c>
      <c r="F918" t="s">
        <v>13</v>
      </c>
      <c r="G918">
        <v>21774.32215</v>
      </c>
      <c r="H918" t="str">
        <f t="shared" si="42"/>
        <v>40-49</v>
      </c>
      <c r="I918" t="str">
        <f t="shared" si="43"/>
        <v>Overweight</v>
      </c>
      <c r="J918" t="str">
        <f t="shared" si="44"/>
        <v>Yes</v>
      </c>
    </row>
    <row r="919" spans="1:10" x14ac:dyDescent="0.25">
      <c r="A919">
        <v>45</v>
      </c>
      <c r="B919" t="s">
        <v>10</v>
      </c>
      <c r="C919">
        <v>22.895</v>
      </c>
      <c r="D919">
        <v>0</v>
      </c>
      <c r="E919" t="s">
        <v>8</v>
      </c>
      <c r="F919" t="s">
        <v>14</v>
      </c>
      <c r="G919">
        <v>35069.374519999998</v>
      </c>
      <c r="H919" t="str">
        <f t="shared" si="42"/>
        <v>40-49</v>
      </c>
      <c r="I919" t="str">
        <f t="shared" si="43"/>
        <v>Normal</v>
      </c>
      <c r="J919" t="str">
        <f t="shared" si="44"/>
        <v>Yes</v>
      </c>
    </row>
    <row r="920" spans="1:10" x14ac:dyDescent="0.25">
      <c r="A920">
        <v>61</v>
      </c>
      <c r="B920" t="s">
        <v>7</v>
      </c>
      <c r="C920">
        <v>28.2</v>
      </c>
      <c r="D920">
        <v>0</v>
      </c>
      <c r="E920" t="s">
        <v>11</v>
      </c>
      <c r="F920" t="s">
        <v>9</v>
      </c>
      <c r="G920">
        <v>13041.921</v>
      </c>
      <c r="H920" t="str">
        <f t="shared" si="42"/>
        <v>60+</v>
      </c>
      <c r="I920" t="str">
        <f t="shared" si="43"/>
        <v>Overweight</v>
      </c>
      <c r="J920" t="str">
        <f t="shared" si="44"/>
        <v>No</v>
      </c>
    </row>
    <row r="921" spans="1:10" x14ac:dyDescent="0.25">
      <c r="A921">
        <v>35</v>
      </c>
      <c r="B921" t="s">
        <v>7</v>
      </c>
      <c r="C921">
        <v>34.21</v>
      </c>
      <c r="D921">
        <v>1</v>
      </c>
      <c r="E921" t="s">
        <v>11</v>
      </c>
      <c r="F921" t="s">
        <v>12</v>
      </c>
      <c r="G921">
        <v>5245.2268999999997</v>
      </c>
      <c r="H921" t="str">
        <f t="shared" si="42"/>
        <v>30-39</v>
      </c>
      <c r="I921" t="str">
        <f t="shared" si="43"/>
        <v>Obese</v>
      </c>
      <c r="J921" t="str">
        <f t="shared" si="44"/>
        <v>No</v>
      </c>
    </row>
    <row r="922" spans="1:10" x14ac:dyDescent="0.25">
      <c r="A922">
        <v>62</v>
      </c>
      <c r="B922" t="s">
        <v>7</v>
      </c>
      <c r="C922">
        <v>25</v>
      </c>
      <c r="D922">
        <v>0</v>
      </c>
      <c r="E922" t="s">
        <v>11</v>
      </c>
      <c r="F922" t="s">
        <v>9</v>
      </c>
      <c r="G922">
        <v>13451.121999999999</v>
      </c>
      <c r="H922" t="str">
        <f t="shared" si="42"/>
        <v>60+</v>
      </c>
      <c r="I922" t="str">
        <f t="shared" si="43"/>
        <v>Overweight</v>
      </c>
      <c r="J922" t="str">
        <f t="shared" si="44"/>
        <v>No</v>
      </c>
    </row>
    <row r="923" spans="1:10" x14ac:dyDescent="0.25">
      <c r="A923">
        <v>62</v>
      </c>
      <c r="B923" t="s">
        <v>7</v>
      </c>
      <c r="C923">
        <v>33.200000000000003</v>
      </c>
      <c r="D923">
        <v>0</v>
      </c>
      <c r="E923" t="s">
        <v>11</v>
      </c>
      <c r="F923" t="s">
        <v>9</v>
      </c>
      <c r="G923">
        <v>13462.52</v>
      </c>
      <c r="H923" t="str">
        <f t="shared" si="42"/>
        <v>60+</v>
      </c>
      <c r="I923" t="str">
        <f t="shared" si="43"/>
        <v>Obese</v>
      </c>
      <c r="J923" t="str">
        <f t="shared" si="44"/>
        <v>No</v>
      </c>
    </row>
    <row r="924" spans="1:10" x14ac:dyDescent="0.25">
      <c r="A924">
        <v>38</v>
      </c>
      <c r="B924" t="s">
        <v>10</v>
      </c>
      <c r="C924">
        <v>31</v>
      </c>
      <c r="D924">
        <v>1</v>
      </c>
      <c r="E924" t="s">
        <v>11</v>
      </c>
      <c r="F924" t="s">
        <v>9</v>
      </c>
      <c r="G924">
        <v>5488.2619999999997</v>
      </c>
      <c r="H924" t="str">
        <f t="shared" si="42"/>
        <v>30-39</v>
      </c>
      <c r="I924" t="str">
        <f t="shared" si="43"/>
        <v>Obese</v>
      </c>
      <c r="J924" t="str">
        <f t="shared" si="44"/>
        <v>No</v>
      </c>
    </row>
    <row r="925" spans="1:10" x14ac:dyDescent="0.25">
      <c r="A925">
        <v>34</v>
      </c>
      <c r="B925" t="s">
        <v>10</v>
      </c>
      <c r="C925">
        <v>35.814999999999998</v>
      </c>
      <c r="D925">
        <v>0</v>
      </c>
      <c r="E925" t="s">
        <v>11</v>
      </c>
      <c r="F925" t="s">
        <v>13</v>
      </c>
      <c r="G925">
        <v>4320.4108500000002</v>
      </c>
      <c r="H925" t="str">
        <f t="shared" si="42"/>
        <v>30-39</v>
      </c>
      <c r="I925" t="str">
        <f t="shared" si="43"/>
        <v>Obese</v>
      </c>
      <c r="J925" t="str">
        <f t="shared" si="44"/>
        <v>No</v>
      </c>
    </row>
    <row r="926" spans="1:10" x14ac:dyDescent="0.25">
      <c r="A926">
        <v>43</v>
      </c>
      <c r="B926" t="s">
        <v>10</v>
      </c>
      <c r="C926">
        <v>23.2</v>
      </c>
      <c r="D926">
        <v>0</v>
      </c>
      <c r="E926" t="s">
        <v>11</v>
      </c>
      <c r="F926" t="s">
        <v>9</v>
      </c>
      <c r="G926">
        <v>6250.4350000000004</v>
      </c>
      <c r="H926" t="str">
        <f t="shared" si="42"/>
        <v>40-49</v>
      </c>
      <c r="I926" t="str">
        <f t="shared" si="43"/>
        <v>Normal</v>
      </c>
      <c r="J926" t="str">
        <f t="shared" si="44"/>
        <v>No</v>
      </c>
    </row>
    <row r="927" spans="1:10" x14ac:dyDescent="0.25">
      <c r="A927">
        <v>50</v>
      </c>
      <c r="B927" t="s">
        <v>10</v>
      </c>
      <c r="C927">
        <v>32.11</v>
      </c>
      <c r="D927">
        <v>2</v>
      </c>
      <c r="E927" t="s">
        <v>11</v>
      </c>
      <c r="F927" t="s">
        <v>14</v>
      </c>
      <c r="G927">
        <v>25333.332839999999</v>
      </c>
      <c r="H927" t="str">
        <f t="shared" si="42"/>
        <v>50-59</v>
      </c>
      <c r="I927" t="str">
        <f t="shared" si="43"/>
        <v>Obese</v>
      </c>
      <c r="J927" t="str">
        <f t="shared" si="44"/>
        <v>Yes</v>
      </c>
    </row>
    <row r="928" spans="1:10" x14ac:dyDescent="0.25">
      <c r="A928">
        <v>19</v>
      </c>
      <c r="B928" t="s">
        <v>7</v>
      </c>
      <c r="C928">
        <v>23.4</v>
      </c>
      <c r="D928">
        <v>2</v>
      </c>
      <c r="E928" t="s">
        <v>11</v>
      </c>
      <c r="F928" t="s">
        <v>9</v>
      </c>
      <c r="G928">
        <v>2913.569</v>
      </c>
      <c r="H928" t="str">
        <f t="shared" si="42"/>
        <v>18-29</v>
      </c>
      <c r="I928" t="str">
        <f t="shared" si="43"/>
        <v>Normal</v>
      </c>
      <c r="J928" t="str">
        <f t="shared" si="44"/>
        <v>No</v>
      </c>
    </row>
    <row r="929" spans="1:10" x14ac:dyDescent="0.25">
      <c r="A929">
        <v>57</v>
      </c>
      <c r="B929" t="s">
        <v>7</v>
      </c>
      <c r="C929">
        <v>20.100000000000001</v>
      </c>
      <c r="D929">
        <v>1</v>
      </c>
      <c r="E929" t="s">
        <v>11</v>
      </c>
      <c r="F929" t="s">
        <v>9</v>
      </c>
      <c r="G929">
        <v>12032.325999999999</v>
      </c>
      <c r="H929" t="str">
        <f t="shared" si="42"/>
        <v>50-59</v>
      </c>
      <c r="I929" t="str">
        <f t="shared" si="43"/>
        <v>Normal</v>
      </c>
      <c r="J929" t="str">
        <f t="shared" si="44"/>
        <v>No</v>
      </c>
    </row>
    <row r="930" spans="1:10" x14ac:dyDescent="0.25">
      <c r="A930">
        <v>62</v>
      </c>
      <c r="B930" t="s">
        <v>7</v>
      </c>
      <c r="C930">
        <v>39.159999999999997</v>
      </c>
      <c r="D930">
        <v>0</v>
      </c>
      <c r="E930" t="s">
        <v>11</v>
      </c>
      <c r="F930" t="s">
        <v>12</v>
      </c>
      <c r="G930">
        <v>13470.804400000001</v>
      </c>
      <c r="H930" t="str">
        <f t="shared" si="42"/>
        <v>60+</v>
      </c>
      <c r="I930" t="str">
        <f t="shared" si="43"/>
        <v>Obese</v>
      </c>
      <c r="J930" t="str">
        <f t="shared" si="44"/>
        <v>No</v>
      </c>
    </row>
    <row r="931" spans="1:10" x14ac:dyDescent="0.25">
      <c r="A931">
        <v>41</v>
      </c>
      <c r="B931" t="s">
        <v>10</v>
      </c>
      <c r="C931">
        <v>34.21</v>
      </c>
      <c r="D931">
        <v>1</v>
      </c>
      <c r="E931" t="s">
        <v>11</v>
      </c>
      <c r="F931" t="s">
        <v>12</v>
      </c>
      <c r="G931">
        <v>6289.7548999999999</v>
      </c>
      <c r="H931" t="str">
        <f t="shared" si="42"/>
        <v>40-49</v>
      </c>
      <c r="I931" t="str">
        <f t="shared" si="43"/>
        <v>Obese</v>
      </c>
      <c r="J931" t="str">
        <f t="shared" si="44"/>
        <v>No</v>
      </c>
    </row>
    <row r="932" spans="1:10" x14ac:dyDescent="0.25">
      <c r="A932">
        <v>26</v>
      </c>
      <c r="B932" t="s">
        <v>10</v>
      </c>
      <c r="C932">
        <v>46.53</v>
      </c>
      <c r="D932">
        <v>1</v>
      </c>
      <c r="E932" t="s">
        <v>11</v>
      </c>
      <c r="F932" t="s">
        <v>12</v>
      </c>
      <c r="G932">
        <v>2927.0646999999999</v>
      </c>
      <c r="H932" t="str">
        <f t="shared" si="42"/>
        <v>18-29</v>
      </c>
      <c r="I932" t="str">
        <f t="shared" si="43"/>
        <v>Obese</v>
      </c>
      <c r="J932" t="str">
        <f t="shared" si="44"/>
        <v>No</v>
      </c>
    </row>
    <row r="933" spans="1:10" x14ac:dyDescent="0.25">
      <c r="A933">
        <v>39</v>
      </c>
      <c r="B933" t="s">
        <v>7</v>
      </c>
      <c r="C933">
        <v>32.5</v>
      </c>
      <c r="D933">
        <v>1</v>
      </c>
      <c r="E933" t="s">
        <v>11</v>
      </c>
      <c r="F933" t="s">
        <v>9</v>
      </c>
      <c r="G933">
        <v>6238.2979999999998</v>
      </c>
      <c r="H933" t="str">
        <f t="shared" si="42"/>
        <v>30-39</v>
      </c>
      <c r="I933" t="str">
        <f t="shared" si="43"/>
        <v>Obese</v>
      </c>
      <c r="J933" t="str">
        <f t="shared" si="44"/>
        <v>No</v>
      </c>
    </row>
    <row r="934" spans="1:10" x14ac:dyDescent="0.25">
      <c r="A934">
        <v>46</v>
      </c>
      <c r="B934" t="s">
        <v>10</v>
      </c>
      <c r="C934">
        <v>25.8</v>
      </c>
      <c r="D934">
        <v>5</v>
      </c>
      <c r="E934" t="s">
        <v>11</v>
      </c>
      <c r="F934" t="s">
        <v>9</v>
      </c>
      <c r="G934">
        <v>10096.969999999999</v>
      </c>
      <c r="H934" t="str">
        <f t="shared" si="42"/>
        <v>40-49</v>
      </c>
      <c r="I934" t="str">
        <f t="shared" si="43"/>
        <v>Overweight</v>
      </c>
      <c r="J934" t="str">
        <f t="shared" si="44"/>
        <v>No</v>
      </c>
    </row>
    <row r="935" spans="1:10" x14ac:dyDescent="0.25">
      <c r="A935">
        <v>45</v>
      </c>
      <c r="B935" t="s">
        <v>7</v>
      </c>
      <c r="C935">
        <v>35.299999999999997</v>
      </c>
      <c r="D935">
        <v>0</v>
      </c>
      <c r="E935" t="s">
        <v>11</v>
      </c>
      <c r="F935" t="s">
        <v>9</v>
      </c>
      <c r="G935">
        <v>7348.1419999999998</v>
      </c>
      <c r="H935" t="str">
        <f t="shared" si="42"/>
        <v>40-49</v>
      </c>
      <c r="I935" t="str">
        <f t="shared" si="43"/>
        <v>Obese</v>
      </c>
      <c r="J935" t="str">
        <f t="shared" si="44"/>
        <v>No</v>
      </c>
    </row>
    <row r="936" spans="1:10" x14ac:dyDescent="0.25">
      <c r="A936">
        <v>32</v>
      </c>
      <c r="B936" t="s">
        <v>10</v>
      </c>
      <c r="C936">
        <v>37.18</v>
      </c>
      <c r="D936">
        <v>2</v>
      </c>
      <c r="E936" t="s">
        <v>11</v>
      </c>
      <c r="F936" t="s">
        <v>12</v>
      </c>
      <c r="G936">
        <v>4673.3922000000002</v>
      </c>
      <c r="H936" t="str">
        <f t="shared" si="42"/>
        <v>30-39</v>
      </c>
      <c r="I936" t="str">
        <f t="shared" si="43"/>
        <v>Obese</v>
      </c>
      <c r="J936" t="str">
        <f t="shared" si="44"/>
        <v>No</v>
      </c>
    </row>
    <row r="937" spans="1:10" x14ac:dyDescent="0.25">
      <c r="A937">
        <v>59</v>
      </c>
      <c r="B937" t="s">
        <v>7</v>
      </c>
      <c r="C937">
        <v>27.5</v>
      </c>
      <c r="D937">
        <v>0</v>
      </c>
      <c r="E937" t="s">
        <v>11</v>
      </c>
      <c r="F937" t="s">
        <v>9</v>
      </c>
      <c r="G937">
        <v>12233.828</v>
      </c>
      <c r="H937" t="str">
        <f t="shared" si="42"/>
        <v>50-59</v>
      </c>
      <c r="I937" t="str">
        <f t="shared" si="43"/>
        <v>Overweight</v>
      </c>
      <c r="J937" t="str">
        <f t="shared" si="44"/>
        <v>No</v>
      </c>
    </row>
    <row r="938" spans="1:10" x14ac:dyDescent="0.25">
      <c r="A938">
        <v>44</v>
      </c>
      <c r="B938" t="s">
        <v>10</v>
      </c>
      <c r="C938">
        <v>29.734999999999999</v>
      </c>
      <c r="D938">
        <v>2</v>
      </c>
      <c r="E938" t="s">
        <v>11</v>
      </c>
      <c r="F938" t="s">
        <v>14</v>
      </c>
      <c r="G938">
        <v>32108.662820000001</v>
      </c>
      <c r="H938" t="str">
        <f t="shared" si="42"/>
        <v>40-49</v>
      </c>
      <c r="I938" t="str">
        <f t="shared" si="43"/>
        <v>Overweight</v>
      </c>
      <c r="J938" t="str">
        <f t="shared" si="44"/>
        <v>Yes</v>
      </c>
    </row>
    <row r="939" spans="1:10" x14ac:dyDescent="0.25">
      <c r="A939">
        <v>39</v>
      </c>
      <c r="B939" t="s">
        <v>7</v>
      </c>
      <c r="C939">
        <v>24.225000000000001</v>
      </c>
      <c r="D939">
        <v>5</v>
      </c>
      <c r="E939" t="s">
        <v>11</v>
      </c>
      <c r="F939" t="s">
        <v>13</v>
      </c>
      <c r="G939">
        <v>8965.7957499999993</v>
      </c>
      <c r="H939" t="str">
        <f t="shared" si="42"/>
        <v>30-39</v>
      </c>
      <c r="I939" t="str">
        <f t="shared" si="43"/>
        <v>Normal</v>
      </c>
      <c r="J939" t="str">
        <f t="shared" si="44"/>
        <v>No</v>
      </c>
    </row>
    <row r="940" spans="1:10" x14ac:dyDescent="0.25">
      <c r="A940">
        <v>18</v>
      </c>
      <c r="B940" t="s">
        <v>10</v>
      </c>
      <c r="C940">
        <v>26.18</v>
      </c>
      <c r="D940">
        <v>2</v>
      </c>
      <c r="E940" t="s">
        <v>11</v>
      </c>
      <c r="F940" t="s">
        <v>12</v>
      </c>
      <c r="G940">
        <v>2304.0021999999999</v>
      </c>
      <c r="H940" t="str">
        <f t="shared" si="42"/>
        <v>18-29</v>
      </c>
      <c r="I940" t="str">
        <f t="shared" si="43"/>
        <v>Overweight</v>
      </c>
      <c r="J940" t="str">
        <f t="shared" si="44"/>
        <v>No</v>
      </c>
    </row>
    <row r="941" spans="1:10" x14ac:dyDescent="0.25">
      <c r="A941">
        <v>53</v>
      </c>
      <c r="B941" t="s">
        <v>10</v>
      </c>
      <c r="C941">
        <v>29.48</v>
      </c>
      <c r="D941">
        <v>0</v>
      </c>
      <c r="E941" t="s">
        <v>11</v>
      </c>
      <c r="F941" t="s">
        <v>12</v>
      </c>
      <c r="G941">
        <v>9487.6442000000006</v>
      </c>
      <c r="H941" t="str">
        <f t="shared" si="42"/>
        <v>50-59</v>
      </c>
      <c r="I941" t="str">
        <f t="shared" si="43"/>
        <v>Overweight</v>
      </c>
      <c r="J941" t="str">
        <f t="shared" si="44"/>
        <v>No</v>
      </c>
    </row>
    <row r="942" spans="1:10" x14ac:dyDescent="0.25">
      <c r="A942">
        <v>18</v>
      </c>
      <c r="B942" t="s">
        <v>10</v>
      </c>
      <c r="C942">
        <v>23.21</v>
      </c>
      <c r="D942">
        <v>0</v>
      </c>
      <c r="E942" t="s">
        <v>11</v>
      </c>
      <c r="F942" t="s">
        <v>12</v>
      </c>
      <c r="G942">
        <v>1121.8739</v>
      </c>
      <c r="H942" t="str">
        <f t="shared" si="42"/>
        <v>18-29</v>
      </c>
      <c r="I942" t="str">
        <f t="shared" si="43"/>
        <v>Normal</v>
      </c>
      <c r="J942" t="str">
        <f t="shared" si="44"/>
        <v>No</v>
      </c>
    </row>
    <row r="943" spans="1:10" x14ac:dyDescent="0.25">
      <c r="A943">
        <v>50</v>
      </c>
      <c r="B943" t="s">
        <v>7</v>
      </c>
      <c r="C943">
        <v>46.09</v>
      </c>
      <c r="D943">
        <v>1</v>
      </c>
      <c r="E943" t="s">
        <v>11</v>
      </c>
      <c r="F943" t="s">
        <v>12</v>
      </c>
      <c r="G943">
        <v>9549.5650999999998</v>
      </c>
      <c r="H943" t="str">
        <f t="shared" si="42"/>
        <v>50-59</v>
      </c>
      <c r="I943" t="str">
        <f t="shared" si="43"/>
        <v>Obese</v>
      </c>
      <c r="J943" t="str">
        <f t="shared" si="44"/>
        <v>No</v>
      </c>
    </row>
    <row r="944" spans="1:10" x14ac:dyDescent="0.25">
      <c r="A944">
        <v>18</v>
      </c>
      <c r="B944" t="s">
        <v>7</v>
      </c>
      <c r="C944">
        <v>40.185000000000002</v>
      </c>
      <c r="D944">
        <v>0</v>
      </c>
      <c r="E944" t="s">
        <v>11</v>
      </c>
      <c r="F944" t="s">
        <v>14</v>
      </c>
      <c r="G944">
        <v>2217.4691499999999</v>
      </c>
      <c r="H944" t="str">
        <f t="shared" si="42"/>
        <v>18-29</v>
      </c>
      <c r="I944" t="str">
        <f t="shared" si="43"/>
        <v>Obese</v>
      </c>
      <c r="J944" t="str">
        <f t="shared" si="44"/>
        <v>No</v>
      </c>
    </row>
    <row r="945" spans="1:10" x14ac:dyDescent="0.25">
      <c r="A945">
        <v>19</v>
      </c>
      <c r="B945" t="s">
        <v>10</v>
      </c>
      <c r="C945">
        <v>22.61</v>
      </c>
      <c r="D945">
        <v>0</v>
      </c>
      <c r="E945" t="s">
        <v>11</v>
      </c>
      <c r="F945" t="s">
        <v>13</v>
      </c>
      <c r="G945">
        <v>1628.4709</v>
      </c>
      <c r="H945" t="str">
        <f t="shared" si="42"/>
        <v>18-29</v>
      </c>
      <c r="I945" t="str">
        <f t="shared" si="43"/>
        <v>Normal</v>
      </c>
      <c r="J945" t="str">
        <f t="shared" si="44"/>
        <v>No</v>
      </c>
    </row>
    <row r="946" spans="1:10" x14ac:dyDescent="0.25">
      <c r="A946">
        <v>62</v>
      </c>
      <c r="B946" t="s">
        <v>10</v>
      </c>
      <c r="C946">
        <v>39.93</v>
      </c>
      <c r="D946">
        <v>0</v>
      </c>
      <c r="E946" t="s">
        <v>11</v>
      </c>
      <c r="F946" t="s">
        <v>12</v>
      </c>
      <c r="G946">
        <v>12982.8747</v>
      </c>
      <c r="H946" t="str">
        <f t="shared" si="42"/>
        <v>60+</v>
      </c>
      <c r="I946" t="str">
        <f t="shared" si="43"/>
        <v>Obese</v>
      </c>
      <c r="J946" t="str">
        <f t="shared" si="44"/>
        <v>No</v>
      </c>
    </row>
    <row r="947" spans="1:10" x14ac:dyDescent="0.25">
      <c r="A947">
        <v>56</v>
      </c>
      <c r="B947" t="s">
        <v>7</v>
      </c>
      <c r="C947">
        <v>35.799999999999997</v>
      </c>
      <c r="D947">
        <v>1</v>
      </c>
      <c r="E947" t="s">
        <v>11</v>
      </c>
      <c r="F947" t="s">
        <v>9</v>
      </c>
      <c r="G947">
        <v>11674.13</v>
      </c>
      <c r="H947" t="str">
        <f t="shared" si="42"/>
        <v>50-59</v>
      </c>
      <c r="I947" t="str">
        <f t="shared" si="43"/>
        <v>Obese</v>
      </c>
      <c r="J947" t="str">
        <f t="shared" si="44"/>
        <v>No</v>
      </c>
    </row>
    <row r="948" spans="1:10" x14ac:dyDescent="0.25">
      <c r="A948">
        <v>42</v>
      </c>
      <c r="B948" t="s">
        <v>10</v>
      </c>
      <c r="C948">
        <v>35.799999999999997</v>
      </c>
      <c r="D948">
        <v>2</v>
      </c>
      <c r="E948" t="s">
        <v>11</v>
      </c>
      <c r="F948" t="s">
        <v>9</v>
      </c>
      <c r="G948">
        <v>7160.0940000000001</v>
      </c>
      <c r="H948" t="str">
        <f t="shared" si="42"/>
        <v>40-49</v>
      </c>
      <c r="I948" t="str">
        <f t="shared" si="43"/>
        <v>Obese</v>
      </c>
      <c r="J948" t="str">
        <f t="shared" si="44"/>
        <v>No</v>
      </c>
    </row>
    <row r="949" spans="1:10" x14ac:dyDescent="0.25">
      <c r="A949">
        <v>37</v>
      </c>
      <c r="B949" t="s">
        <v>10</v>
      </c>
      <c r="C949">
        <v>34.200000000000003</v>
      </c>
      <c r="D949">
        <v>1</v>
      </c>
      <c r="E949" t="s">
        <v>8</v>
      </c>
      <c r="F949" t="s">
        <v>14</v>
      </c>
      <c r="G949">
        <v>39047.285000000003</v>
      </c>
      <c r="H949" t="str">
        <f t="shared" si="42"/>
        <v>30-39</v>
      </c>
      <c r="I949" t="str">
        <f t="shared" si="43"/>
        <v>Obese</v>
      </c>
      <c r="J949" t="str">
        <f t="shared" si="44"/>
        <v>Yes</v>
      </c>
    </row>
    <row r="950" spans="1:10" x14ac:dyDescent="0.25">
      <c r="A950">
        <v>42</v>
      </c>
      <c r="B950" t="s">
        <v>10</v>
      </c>
      <c r="C950">
        <v>31.254999999999999</v>
      </c>
      <c r="D950">
        <v>0</v>
      </c>
      <c r="E950" t="s">
        <v>11</v>
      </c>
      <c r="F950" t="s">
        <v>13</v>
      </c>
      <c r="G950">
        <v>6358.7764500000003</v>
      </c>
      <c r="H950" t="str">
        <f t="shared" si="42"/>
        <v>40-49</v>
      </c>
      <c r="I950" t="str">
        <f t="shared" si="43"/>
        <v>Obese</v>
      </c>
      <c r="J950" t="str">
        <f t="shared" si="44"/>
        <v>No</v>
      </c>
    </row>
    <row r="951" spans="1:10" x14ac:dyDescent="0.25">
      <c r="A951">
        <v>25</v>
      </c>
      <c r="B951" t="s">
        <v>10</v>
      </c>
      <c r="C951">
        <v>29.7</v>
      </c>
      <c r="D951">
        <v>3</v>
      </c>
      <c r="E951" t="s">
        <v>8</v>
      </c>
      <c r="F951" t="s">
        <v>9</v>
      </c>
      <c r="G951">
        <v>19933.457999999999</v>
      </c>
      <c r="H951" t="str">
        <f t="shared" si="42"/>
        <v>18-29</v>
      </c>
      <c r="I951" t="str">
        <f t="shared" si="43"/>
        <v>Overweight</v>
      </c>
      <c r="J951" t="str">
        <f t="shared" si="44"/>
        <v>No</v>
      </c>
    </row>
    <row r="952" spans="1:10" x14ac:dyDescent="0.25">
      <c r="A952">
        <v>57</v>
      </c>
      <c r="B952" t="s">
        <v>10</v>
      </c>
      <c r="C952">
        <v>18.335000000000001</v>
      </c>
      <c r="D952">
        <v>0</v>
      </c>
      <c r="E952" t="s">
        <v>11</v>
      </c>
      <c r="F952" t="s">
        <v>14</v>
      </c>
      <c r="G952">
        <v>11534.872649999999</v>
      </c>
      <c r="H952" t="str">
        <f t="shared" si="42"/>
        <v>50-59</v>
      </c>
      <c r="I952" t="str">
        <f t="shared" si="43"/>
        <v>Underweight</v>
      </c>
      <c r="J952" t="str">
        <f t="shared" si="44"/>
        <v>No</v>
      </c>
    </row>
    <row r="953" spans="1:10" x14ac:dyDescent="0.25">
      <c r="A953">
        <v>51</v>
      </c>
      <c r="B953" t="s">
        <v>10</v>
      </c>
      <c r="C953">
        <v>42.9</v>
      </c>
      <c r="D953">
        <v>2</v>
      </c>
      <c r="E953" t="s">
        <v>8</v>
      </c>
      <c r="F953" t="s">
        <v>12</v>
      </c>
      <c r="G953">
        <v>47462.894</v>
      </c>
      <c r="H953" t="str">
        <f t="shared" si="42"/>
        <v>50-59</v>
      </c>
      <c r="I953" t="str">
        <f t="shared" si="43"/>
        <v>Obese</v>
      </c>
      <c r="J953" t="str">
        <f t="shared" si="44"/>
        <v>Yes</v>
      </c>
    </row>
    <row r="954" spans="1:10" x14ac:dyDescent="0.25">
      <c r="A954">
        <v>30</v>
      </c>
      <c r="B954" t="s">
        <v>7</v>
      </c>
      <c r="C954">
        <v>28.405000000000001</v>
      </c>
      <c r="D954">
        <v>1</v>
      </c>
      <c r="E954" t="s">
        <v>11</v>
      </c>
      <c r="F954" t="s">
        <v>13</v>
      </c>
      <c r="G954">
        <v>4527.1829500000003</v>
      </c>
      <c r="H954" t="str">
        <f t="shared" si="42"/>
        <v>30-39</v>
      </c>
      <c r="I954" t="str">
        <f t="shared" si="43"/>
        <v>Overweight</v>
      </c>
      <c r="J954" t="str">
        <f t="shared" si="44"/>
        <v>No</v>
      </c>
    </row>
    <row r="955" spans="1:10" x14ac:dyDescent="0.25">
      <c r="A955">
        <v>44</v>
      </c>
      <c r="B955" t="s">
        <v>10</v>
      </c>
      <c r="C955">
        <v>30.2</v>
      </c>
      <c r="D955">
        <v>2</v>
      </c>
      <c r="E955" t="s">
        <v>8</v>
      </c>
      <c r="F955" t="s">
        <v>9</v>
      </c>
      <c r="G955">
        <v>38998.546000000002</v>
      </c>
      <c r="H955" t="str">
        <f t="shared" si="42"/>
        <v>40-49</v>
      </c>
      <c r="I955" t="str">
        <f t="shared" si="43"/>
        <v>Obese</v>
      </c>
      <c r="J955" t="str">
        <f t="shared" si="44"/>
        <v>Yes</v>
      </c>
    </row>
    <row r="956" spans="1:10" x14ac:dyDescent="0.25">
      <c r="A956">
        <v>34</v>
      </c>
      <c r="B956" t="s">
        <v>10</v>
      </c>
      <c r="C956">
        <v>27.835000000000001</v>
      </c>
      <c r="D956">
        <v>1</v>
      </c>
      <c r="E956" t="s">
        <v>8</v>
      </c>
      <c r="F956" t="s">
        <v>13</v>
      </c>
      <c r="G956">
        <v>20009.63365</v>
      </c>
      <c r="H956" t="str">
        <f t="shared" si="42"/>
        <v>30-39</v>
      </c>
      <c r="I956" t="str">
        <f t="shared" si="43"/>
        <v>Overweight</v>
      </c>
      <c r="J956" t="str">
        <f t="shared" si="44"/>
        <v>Yes</v>
      </c>
    </row>
    <row r="957" spans="1:10" x14ac:dyDescent="0.25">
      <c r="A957">
        <v>31</v>
      </c>
      <c r="B957" t="s">
        <v>10</v>
      </c>
      <c r="C957">
        <v>39.49</v>
      </c>
      <c r="D957">
        <v>1</v>
      </c>
      <c r="E957" t="s">
        <v>11</v>
      </c>
      <c r="F957" t="s">
        <v>12</v>
      </c>
      <c r="G957">
        <v>3875.7341000000001</v>
      </c>
      <c r="H957" t="str">
        <f t="shared" si="42"/>
        <v>30-39</v>
      </c>
      <c r="I957" t="str">
        <f t="shared" si="43"/>
        <v>Obese</v>
      </c>
      <c r="J957" t="str">
        <f t="shared" si="44"/>
        <v>No</v>
      </c>
    </row>
    <row r="958" spans="1:10" x14ac:dyDescent="0.25">
      <c r="A958">
        <v>54</v>
      </c>
      <c r="B958" t="s">
        <v>10</v>
      </c>
      <c r="C958">
        <v>30.8</v>
      </c>
      <c r="D958">
        <v>1</v>
      </c>
      <c r="E958" t="s">
        <v>8</v>
      </c>
      <c r="F958" t="s">
        <v>12</v>
      </c>
      <c r="G958">
        <v>41999.519999999997</v>
      </c>
      <c r="H958" t="str">
        <f t="shared" si="42"/>
        <v>50-59</v>
      </c>
      <c r="I958" t="str">
        <f t="shared" si="43"/>
        <v>Obese</v>
      </c>
      <c r="J958" t="str">
        <f t="shared" si="44"/>
        <v>Yes</v>
      </c>
    </row>
    <row r="959" spans="1:10" x14ac:dyDescent="0.25">
      <c r="A959">
        <v>24</v>
      </c>
      <c r="B959" t="s">
        <v>10</v>
      </c>
      <c r="C959">
        <v>26.79</v>
      </c>
      <c r="D959">
        <v>1</v>
      </c>
      <c r="E959" t="s">
        <v>11</v>
      </c>
      <c r="F959" t="s">
        <v>13</v>
      </c>
      <c r="G959">
        <v>12609.88702</v>
      </c>
      <c r="H959" t="str">
        <f t="shared" si="42"/>
        <v>18-29</v>
      </c>
      <c r="I959" t="str">
        <f t="shared" si="43"/>
        <v>Overweight</v>
      </c>
      <c r="J959" t="str">
        <f t="shared" si="44"/>
        <v>No</v>
      </c>
    </row>
    <row r="960" spans="1:10" x14ac:dyDescent="0.25">
      <c r="A960">
        <v>43</v>
      </c>
      <c r="B960" t="s">
        <v>10</v>
      </c>
      <c r="C960">
        <v>34.96</v>
      </c>
      <c r="D960">
        <v>1</v>
      </c>
      <c r="E960" t="s">
        <v>8</v>
      </c>
      <c r="F960" t="s">
        <v>14</v>
      </c>
      <c r="G960">
        <v>41034.221400000002</v>
      </c>
      <c r="H960" t="str">
        <f t="shared" si="42"/>
        <v>40-49</v>
      </c>
      <c r="I960" t="str">
        <f t="shared" si="43"/>
        <v>Obese</v>
      </c>
      <c r="J960" t="str">
        <f t="shared" si="44"/>
        <v>Yes</v>
      </c>
    </row>
    <row r="961" spans="1:10" x14ac:dyDescent="0.25">
      <c r="A961">
        <v>48</v>
      </c>
      <c r="B961" t="s">
        <v>10</v>
      </c>
      <c r="C961">
        <v>36.67</v>
      </c>
      <c r="D961">
        <v>1</v>
      </c>
      <c r="E961" t="s">
        <v>11</v>
      </c>
      <c r="F961" t="s">
        <v>13</v>
      </c>
      <c r="G961">
        <v>28468.919010000001</v>
      </c>
      <c r="H961" t="str">
        <f t="shared" si="42"/>
        <v>40-49</v>
      </c>
      <c r="I961" t="str">
        <f t="shared" si="43"/>
        <v>Obese</v>
      </c>
      <c r="J961" t="str">
        <f t="shared" si="44"/>
        <v>Yes</v>
      </c>
    </row>
    <row r="962" spans="1:10" x14ac:dyDescent="0.25">
      <c r="A962">
        <v>19</v>
      </c>
      <c r="B962" t="s">
        <v>7</v>
      </c>
      <c r="C962">
        <v>39.615000000000002</v>
      </c>
      <c r="D962">
        <v>1</v>
      </c>
      <c r="E962" t="s">
        <v>11</v>
      </c>
      <c r="F962" t="s">
        <v>13</v>
      </c>
      <c r="G962">
        <v>2730.1078499999999</v>
      </c>
      <c r="H962" t="str">
        <f t="shared" ref="H962:H1025" si="45">IF(A962&lt;30, "18-29", IF(A962&lt;40, "30-39", IF(A962&lt;50, "40-49", IF(A962&lt;60, "50-59", "60+"))))</f>
        <v>18-29</v>
      </c>
      <c r="I962" t="str">
        <f t="shared" ref="I962:I1025" si="46">IF(C962&lt;18.5, "Underweight", IF(C962&lt;25, "Normal", IF(C962&lt;30,"Overweight","Obese")))</f>
        <v>Obese</v>
      </c>
      <c r="J962" t="str">
        <f t="shared" ref="J962:J1025" si="47">IF(G962&gt;20000,"Yes","No")</f>
        <v>No</v>
      </c>
    </row>
    <row r="963" spans="1:10" x14ac:dyDescent="0.25">
      <c r="A963">
        <v>29</v>
      </c>
      <c r="B963" t="s">
        <v>7</v>
      </c>
      <c r="C963">
        <v>25.9</v>
      </c>
      <c r="D963">
        <v>0</v>
      </c>
      <c r="E963" t="s">
        <v>11</v>
      </c>
      <c r="F963" t="s">
        <v>9</v>
      </c>
      <c r="G963">
        <v>3353.2840000000001</v>
      </c>
      <c r="H963" t="str">
        <f t="shared" si="45"/>
        <v>18-29</v>
      </c>
      <c r="I963" t="str">
        <f t="shared" si="46"/>
        <v>Overweight</v>
      </c>
      <c r="J963" t="str">
        <f t="shared" si="47"/>
        <v>No</v>
      </c>
    </row>
    <row r="964" spans="1:10" x14ac:dyDescent="0.25">
      <c r="A964">
        <v>63</v>
      </c>
      <c r="B964" t="s">
        <v>7</v>
      </c>
      <c r="C964">
        <v>35.200000000000003</v>
      </c>
      <c r="D964">
        <v>1</v>
      </c>
      <c r="E964" t="s">
        <v>11</v>
      </c>
      <c r="F964" t="s">
        <v>12</v>
      </c>
      <c r="G964">
        <v>14474.674999999999</v>
      </c>
      <c r="H964" t="str">
        <f t="shared" si="45"/>
        <v>60+</v>
      </c>
      <c r="I964" t="str">
        <f t="shared" si="46"/>
        <v>Obese</v>
      </c>
      <c r="J964" t="str">
        <f t="shared" si="47"/>
        <v>No</v>
      </c>
    </row>
    <row r="965" spans="1:10" x14ac:dyDescent="0.25">
      <c r="A965">
        <v>46</v>
      </c>
      <c r="B965" t="s">
        <v>10</v>
      </c>
      <c r="C965">
        <v>24.795000000000002</v>
      </c>
      <c r="D965">
        <v>3</v>
      </c>
      <c r="E965" t="s">
        <v>11</v>
      </c>
      <c r="F965" t="s">
        <v>14</v>
      </c>
      <c r="G965">
        <v>9500.5730500000009</v>
      </c>
      <c r="H965" t="str">
        <f t="shared" si="45"/>
        <v>40-49</v>
      </c>
      <c r="I965" t="str">
        <f t="shared" si="46"/>
        <v>Normal</v>
      </c>
      <c r="J965" t="str">
        <f t="shared" si="47"/>
        <v>No</v>
      </c>
    </row>
    <row r="966" spans="1:10" x14ac:dyDescent="0.25">
      <c r="A966">
        <v>52</v>
      </c>
      <c r="B966" t="s">
        <v>10</v>
      </c>
      <c r="C966">
        <v>36.765000000000001</v>
      </c>
      <c r="D966">
        <v>2</v>
      </c>
      <c r="E966" t="s">
        <v>11</v>
      </c>
      <c r="F966" t="s">
        <v>13</v>
      </c>
      <c r="G966">
        <v>26467.09737</v>
      </c>
      <c r="H966" t="str">
        <f t="shared" si="45"/>
        <v>50-59</v>
      </c>
      <c r="I966" t="str">
        <f t="shared" si="46"/>
        <v>Obese</v>
      </c>
      <c r="J966" t="str">
        <f t="shared" si="47"/>
        <v>Yes</v>
      </c>
    </row>
    <row r="967" spans="1:10" x14ac:dyDescent="0.25">
      <c r="A967">
        <v>35</v>
      </c>
      <c r="B967" t="s">
        <v>10</v>
      </c>
      <c r="C967">
        <v>27.1</v>
      </c>
      <c r="D967">
        <v>1</v>
      </c>
      <c r="E967" t="s">
        <v>11</v>
      </c>
      <c r="F967" t="s">
        <v>9</v>
      </c>
      <c r="G967">
        <v>4746.3440000000001</v>
      </c>
      <c r="H967" t="str">
        <f t="shared" si="45"/>
        <v>30-39</v>
      </c>
      <c r="I967" t="str">
        <f t="shared" si="46"/>
        <v>Overweight</v>
      </c>
      <c r="J967" t="str">
        <f t="shared" si="47"/>
        <v>No</v>
      </c>
    </row>
    <row r="968" spans="1:10" x14ac:dyDescent="0.25">
      <c r="A968">
        <v>51</v>
      </c>
      <c r="B968" t="s">
        <v>10</v>
      </c>
      <c r="C968">
        <v>24.795000000000002</v>
      </c>
      <c r="D968">
        <v>2</v>
      </c>
      <c r="E968" t="s">
        <v>8</v>
      </c>
      <c r="F968" t="s">
        <v>13</v>
      </c>
      <c r="G968">
        <v>23967.38305</v>
      </c>
      <c r="H968" t="str">
        <f t="shared" si="45"/>
        <v>50-59</v>
      </c>
      <c r="I968" t="str">
        <f t="shared" si="46"/>
        <v>Normal</v>
      </c>
      <c r="J968" t="str">
        <f t="shared" si="47"/>
        <v>Yes</v>
      </c>
    </row>
    <row r="969" spans="1:10" x14ac:dyDescent="0.25">
      <c r="A969">
        <v>44</v>
      </c>
      <c r="B969" t="s">
        <v>10</v>
      </c>
      <c r="C969">
        <v>25.364999999999998</v>
      </c>
      <c r="D969">
        <v>1</v>
      </c>
      <c r="E969" t="s">
        <v>11</v>
      </c>
      <c r="F969" t="s">
        <v>13</v>
      </c>
      <c r="G969">
        <v>7518.0253499999999</v>
      </c>
      <c r="H969" t="str">
        <f t="shared" si="45"/>
        <v>40-49</v>
      </c>
      <c r="I969" t="str">
        <f t="shared" si="46"/>
        <v>Overweight</v>
      </c>
      <c r="J969" t="str">
        <f t="shared" si="47"/>
        <v>No</v>
      </c>
    </row>
    <row r="970" spans="1:10" x14ac:dyDescent="0.25">
      <c r="A970">
        <v>21</v>
      </c>
      <c r="B970" t="s">
        <v>10</v>
      </c>
      <c r="C970">
        <v>25.745000000000001</v>
      </c>
      <c r="D970">
        <v>2</v>
      </c>
      <c r="E970" t="s">
        <v>11</v>
      </c>
      <c r="F970" t="s">
        <v>14</v>
      </c>
      <c r="G970">
        <v>3279.8685500000001</v>
      </c>
      <c r="H970" t="str">
        <f t="shared" si="45"/>
        <v>18-29</v>
      </c>
      <c r="I970" t="str">
        <f t="shared" si="46"/>
        <v>Overweight</v>
      </c>
      <c r="J970" t="str">
        <f t="shared" si="47"/>
        <v>No</v>
      </c>
    </row>
    <row r="971" spans="1:10" x14ac:dyDescent="0.25">
      <c r="A971">
        <v>39</v>
      </c>
      <c r="B971" t="s">
        <v>7</v>
      </c>
      <c r="C971">
        <v>34.32</v>
      </c>
      <c r="D971">
        <v>5</v>
      </c>
      <c r="E971" t="s">
        <v>11</v>
      </c>
      <c r="F971" t="s">
        <v>12</v>
      </c>
      <c r="G971">
        <v>8596.8277999999991</v>
      </c>
      <c r="H971" t="str">
        <f t="shared" si="45"/>
        <v>30-39</v>
      </c>
      <c r="I971" t="str">
        <f t="shared" si="46"/>
        <v>Obese</v>
      </c>
      <c r="J971" t="str">
        <f t="shared" si="47"/>
        <v>No</v>
      </c>
    </row>
    <row r="972" spans="1:10" x14ac:dyDescent="0.25">
      <c r="A972">
        <v>50</v>
      </c>
      <c r="B972" t="s">
        <v>7</v>
      </c>
      <c r="C972">
        <v>28.16</v>
      </c>
      <c r="D972">
        <v>3</v>
      </c>
      <c r="E972" t="s">
        <v>11</v>
      </c>
      <c r="F972" t="s">
        <v>12</v>
      </c>
      <c r="G972">
        <v>10702.642400000001</v>
      </c>
      <c r="H972" t="str">
        <f t="shared" si="45"/>
        <v>50-59</v>
      </c>
      <c r="I972" t="str">
        <f t="shared" si="46"/>
        <v>Overweight</v>
      </c>
      <c r="J972" t="str">
        <f t="shared" si="47"/>
        <v>No</v>
      </c>
    </row>
    <row r="973" spans="1:10" x14ac:dyDescent="0.25">
      <c r="A973">
        <v>34</v>
      </c>
      <c r="B973" t="s">
        <v>7</v>
      </c>
      <c r="C973">
        <v>23.56</v>
      </c>
      <c r="D973">
        <v>0</v>
      </c>
      <c r="E973" t="s">
        <v>11</v>
      </c>
      <c r="F973" t="s">
        <v>14</v>
      </c>
      <c r="G973">
        <v>4992.3764000000001</v>
      </c>
      <c r="H973" t="str">
        <f t="shared" si="45"/>
        <v>30-39</v>
      </c>
      <c r="I973" t="str">
        <f t="shared" si="46"/>
        <v>Normal</v>
      </c>
      <c r="J973" t="str">
        <f t="shared" si="47"/>
        <v>No</v>
      </c>
    </row>
    <row r="974" spans="1:10" x14ac:dyDescent="0.25">
      <c r="A974">
        <v>22</v>
      </c>
      <c r="B974" t="s">
        <v>7</v>
      </c>
      <c r="C974">
        <v>20.234999999999999</v>
      </c>
      <c r="D974">
        <v>0</v>
      </c>
      <c r="E974" t="s">
        <v>11</v>
      </c>
      <c r="F974" t="s">
        <v>13</v>
      </c>
      <c r="G974">
        <v>2527.8186500000002</v>
      </c>
      <c r="H974" t="str">
        <f t="shared" si="45"/>
        <v>18-29</v>
      </c>
      <c r="I974" t="str">
        <f t="shared" si="46"/>
        <v>Normal</v>
      </c>
      <c r="J974" t="str">
        <f t="shared" si="47"/>
        <v>No</v>
      </c>
    </row>
    <row r="975" spans="1:10" x14ac:dyDescent="0.25">
      <c r="A975">
        <v>19</v>
      </c>
      <c r="B975" t="s">
        <v>7</v>
      </c>
      <c r="C975">
        <v>40.5</v>
      </c>
      <c r="D975">
        <v>0</v>
      </c>
      <c r="E975" t="s">
        <v>11</v>
      </c>
      <c r="F975" t="s">
        <v>9</v>
      </c>
      <c r="G975">
        <v>1759.338</v>
      </c>
      <c r="H975" t="str">
        <f t="shared" si="45"/>
        <v>18-29</v>
      </c>
      <c r="I975" t="str">
        <f t="shared" si="46"/>
        <v>Obese</v>
      </c>
      <c r="J975" t="str">
        <f t="shared" si="47"/>
        <v>No</v>
      </c>
    </row>
    <row r="976" spans="1:10" x14ac:dyDescent="0.25">
      <c r="A976">
        <v>26</v>
      </c>
      <c r="B976" t="s">
        <v>10</v>
      </c>
      <c r="C976">
        <v>35.42</v>
      </c>
      <c r="D976">
        <v>0</v>
      </c>
      <c r="E976" t="s">
        <v>11</v>
      </c>
      <c r="F976" t="s">
        <v>12</v>
      </c>
      <c r="G976">
        <v>2322.6217999999999</v>
      </c>
      <c r="H976" t="str">
        <f t="shared" si="45"/>
        <v>18-29</v>
      </c>
      <c r="I976" t="str">
        <f t="shared" si="46"/>
        <v>Obese</v>
      </c>
      <c r="J976" t="str">
        <f t="shared" si="47"/>
        <v>No</v>
      </c>
    </row>
    <row r="977" spans="1:10" x14ac:dyDescent="0.25">
      <c r="A977">
        <v>29</v>
      </c>
      <c r="B977" t="s">
        <v>10</v>
      </c>
      <c r="C977">
        <v>22.895</v>
      </c>
      <c r="D977">
        <v>0</v>
      </c>
      <c r="E977" t="s">
        <v>8</v>
      </c>
      <c r="F977" t="s">
        <v>14</v>
      </c>
      <c r="G977">
        <v>16138.762049999999</v>
      </c>
      <c r="H977" t="str">
        <f t="shared" si="45"/>
        <v>18-29</v>
      </c>
      <c r="I977" t="str">
        <f t="shared" si="46"/>
        <v>Normal</v>
      </c>
      <c r="J977" t="str">
        <f t="shared" si="47"/>
        <v>No</v>
      </c>
    </row>
    <row r="978" spans="1:10" x14ac:dyDescent="0.25">
      <c r="A978">
        <v>48</v>
      </c>
      <c r="B978" t="s">
        <v>10</v>
      </c>
      <c r="C978">
        <v>40.15</v>
      </c>
      <c r="D978">
        <v>0</v>
      </c>
      <c r="E978" t="s">
        <v>11</v>
      </c>
      <c r="F978" t="s">
        <v>12</v>
      </c>
      <c r="G978">
        <v>7804.1605</v>
      </c>
      <c r="H978" t="str">
        <f t="shared" si="45"/>
        <v>40-49</v>
      </c>
      <c r="I978" t="str">
        <f t="shared" si="46"/>
        <v>Obese</v>
      </c>
      <c r="J978" t="str">
        <f t="shared" si="47"/>
        <v>No</v>
      </c>
    </row>
    <row r="979" spans="1:10" x14ac:dyDescent="0.25">
      <c r="A979">
        <v>26</v>
      </c>
      <c r="B979" t="s">
        <v>10</v>
      </c>
      <c r="C979">
        <v>29.15</v>
      </c>
      <c r="D979">
        <v>1</v>
      </c>
      <c r="E979" t="s">
        <v>11</v>
      </c>
      <c r="F979" t="s">
        <v>12</v>
      </c>
      <c r="G979">
        <v>2902.9065000000001</v>
      </c>
      <c r="H979" t="str">
        <f t="shared" si="45"/>
        <v>18-29</v>
      </c>
      <c r="I979" t="str">
        <f t="shared" si="46"/>
        <v>Overweight</v>
      </c>
      <c r="J979" t="str">
        <f t="shared" si="47"/>
        <v>No</v>
      </c>
    </row>
    <row r="980" spans="1:10" x14ac:dyDescent="0.25">
      <c r="A980">
        <v>45</v>
      </c>
      <c r="B980" t="s">
        <v>7</v>
      </c>
      <c r="C980">
        <v>39.994999999999997</v>
      </c>
      <c r="D980">
        <v>3</v>
      </c>
      <c r="E980" t="s">
        <v>11</v>
      </c>
      <c r="F980" t="s">
        <v>14</v>
      </c>
      <c r="G980">
        <v>9704.6680500000002</v>
      </c>
      <c r="H980" t="str">
        <f t="shared" si="45"/>
        <v>40-49</v>
      </c>
      <c r="I980" t="str">
        <f t="shared" si="46"/>
        <v>Obese</v>
      </c>
      <c r="J980" t="str">
        <f t="shared" si="47"/>
        <v>No</v>
      </c>
    </row>
    <row r="981" spans="1:10" x14ac:dyDescent="0.25">
      <c r="A981">
        <v>36</v>
      </c>
      <c r="B981" t="s">
        <v>7</v>
      </c>
      <c r="C981">
        <v>29.92</v>
      </c>
      <c r="D981">
        <v>0</v>
      </c>
      <c r="E981" t="s">
        <v>11</v>
      </c>
      <c r="F981" t="s">
        <v>12</v>
      </c>
      <c r="G981">
        <v>4889.0367999999999</v>
      </c>
      <c r="H981" t="str">
        <f t="shared" si="45"/>
        <v>30-39</v>
      </c>
      <c r="I981" t="str">
        <f t="shared" si="46"/>
        <v>Overweight</v>
      </c>
      <c r="J981" t="str">
        <f t="shared" si="47"/>
        <v>No</v>
      </c>
    </row>
    <row r="982" spans="1:10" x14ac:dyDescent="0.25">
      <c r="A982">
        <v>54</v>
      </c>
      <c r="B982" t="s">
        <v>10</v>
      </c>
      <c r="C982">
        <v>25.46</v>
      </c>
      <c r="D982">
        <v>1</v>
      </c>
      <c r="E982" t="s">
        <v>11</v>
      </c>
      <c r="F982" t="s">
        <v>14</v>
      </c>
      <c r="G982">
        <v>25517.11363</v>
      </c>
      <c r="H982" t="str">
        <f t="shared" si="45"/>
        <v>50-59</v>
      </c>
      <c r="I982" t="str">
        <f t="shared" si="46"/>
        <v>Overweight</v>
      </c>
      <c r="J982" t="str">
        <f t="shared" si="47"/>
        <v>Yes</v>
      </c>
    </row>
    <row r="983" spans="1:10" x14ac:dyDescent="0.25">
      <c r="A983">
        <v>34</v>
      </c>
      <c r="B983" t="s">
        <v>10</v>
      </c>
      <c r="C983">
        <v>21.375</v>
      </c>
      <c r="D983">
        <v>0</v>
      </c>
      <c r="E983" t="s">
        <v>11</v>
      </c>
      <c r="F983" t="s">
        <v>14</v>
      </c>
      <c r="G983">
        <v>4500.33925</v>
      </c>
      <c r="H983" t="str">
        <f t="shared" si="45"/>
        <v>30-39</v>
      </c>
      <c r="I983" t="str">
        <f t="shared" si="46"/>
        <v>Normal</v>
      </c>
      <c r="J983" t="str">
        <f t="shared" si="47"/>
        <v>No</v>
      </c>
    </row>
    <row r="984" spans="1:10" x14ac:dyDescent="0.25">
      <c r="A984">
        <v>31</v>
      </c>
      <c r="B984" t="s">
        <v>10</v>
      </c>
      <c r="C984">
        <v>25.9</v>
      </c>
      <c r="D984">
        <v>3</v>
      </c>
      <c r="E984" t="s">
        <v>8</v>
      </c>
      <c r="F984" t="s">
        <v>9</v>
      </c>
      <c r="G984">
        <v>19199.944</v>
      </c>
      <c r="H984" t="str">
        <f t="shared" si="45"/>
        <v>30-39</v>
      </c>
      <c r="I984" t="str">
        <f t="shared" si="46"/>
        <v>Overweight</v>
      </c>
      <c r="J984" t="str">
        <f t="shared" si="47"/>
        <v>No</v>
      </c>
    </row>
    <row r="985" spans="1:10" x14ac:dyDescent="0.25">
      <c r="A985">
        <v>27</v>
      </c>
      <c r="B985" t="s">
        <v>7</v>
      </c>
      <c r="C985">
        <v>30.59</v>
      </c>
      <c r="D985">
        <v>1</v>
      </c>
      <c r="E985" t="s">
        <v>11</v>
      </c>
      <c r="F985" t="s">
        <v>14</v>
      </c>
      <c r="G985">
        <v>16796.411940000002</v>
      </c>
      <c r="H985" t="str">
        <f t="shared" si="45"/>
        <v>18-29</v>
      </c>
      <c r="I985" t="str">
        <f t="shared" si="46"/>
        <v>Obese</v>
      </c>
      <c r="J985" t="str">
        <f t="shared" si="47"/>
        <v>No</v>
      </c>
    </row>
    <row r="986" spans="1:10" x14ac:dyDescent="0.25">
      <c r="A986">
        <v>20</v>
      </c>
      <c r="B986" t="s">
        <v>10</v>
      </c>
      <c r="C986">
        <v>30.114999999999998</v>
      </c>
      <c r="D986">
        <v>5</v>
      </c>
      <c r="E986" t="s">
        <v>11</v>
      </c>
      <c r="F986" t="s">
        <v>14</v>
      </c>
      <c r="G986">
        <v>4915.0598499999996</v>
      </c>
      <c r="H986" t="str">
        <f t="shared" si="45"/>
        <v>18-29</v>
      </c>
      <c r="I986" t="str">
        <f t="shared" si="46"/>
        <v>Obese</v>
      </c>
      <c r="J986" t="str">
        <f t="shared" si="47"/>
        <v>No</v>
      </c>
    </row>
    <row r="987" spans="1:10" x14ac:dyDescent="0.25">
      <c r="A987">
        <v>44</v>
      </c>
      <c r="B987" t="s">
        <v>7</v>
      </c>
      <c r="C987">
        <v>25.8</v>
      </c>
      <c r="D987">
        <v>1</v>
      </c>
      <c r="E987" t="s">
        <v>11</v>
      </c>
      <c r="F987" t="s">
        <v>9</v>
      </c>
      <c r="G987">
        <v>7624.63</v>
      </c>
      <c r="H987" t="str">
        <f t="shared" si="45"/>
        <v>40-49</v>
      </c>
      <c r="I987" t="str">
        <f t="shared" si="46"/>
        <v>Overweight</v>
      </c>
      <c r="J987" t="str">
        <f t="shared" si="47"/>
        <v>No</v>
      </c>
    </row>
    <row r="988" spans="1:10" x14ac:dyDescent="0.25">
      <c r="A988">
        <v>43</v>
      </c>
      <c r="B988" t="s">
        <v>10</v>
      </c>
      <c r="C988">
        <v>30.114999999999998</v>
      </c>
      <c r="D988">
        <v>3</v>
      </c>
      <c r="E988" t="s">
        <v>11</v>
      </c>
      <c r="F988" t="s">
        <v>13</v>
      </c>
      <c r="G988">
        <v>8410.0468500000006</v>
      </c>
      <c r="H988" t="str">
        <f t="shared" si="45"/>
        <v>40-49</v>
      </c>
      <c r="I988" t="str">
        <f t="shared" si="46"/>
        <v>Obese</v>
      </c>
      <c r="J988" t="str">
        <f t="shared" si="47"/>
        <v>No</v>
      </c>
    </row>
    <row r="989" spans="1:10" x14ac:dyDescent="0.25">
      <c r="A989">
        <v>45</v>
      </c>
      <c r="B989" t="s">
        <v>7</v>
      </c>
      <c r="C989">
        <v>27.645</v>
      </c>
      <c r="D989">
        <v>1</v>
      </c>
      <c r="E989" t="s">
        <v>11</v>
      </c>
      <c r="F989" t="s">
        <v>13</v>
      </c>
      <c r="G989">
        <v>28340.188849999999</v>
      </c>
      <c r="H989" t="str">
        <f t="shared" si="45"/>
        <v>40-49</v>
      </c>
      <c r="I989" t="str">
        <f t="shared" si="46"/>
        <v>Overweight</v>
      </c>
      <c r="J989" t="str">
        <f t="shared" si="47"/>
        <v>Yes</v>
      </c>
    </row>
    <row r="990" spans="1:10" x14ac:dyDescent="0.25">
      <c r="A990">
        <v>34</v>
      </c>
      <c r="B990" t="s">
        <v>10</v>
      </c>
      <c r="C990">
        <v>34.674999999999997</v>
      </c>
      <c r="D990">
        <v>0</v>
      </c>
      <c r="E990" t="s">
        <v>11</v>
      </c>
      <c r="F990" t="s">
        <v>14</v>
      </c>
      <c r="G990">
        <v>4518.8262500000001</v>
      </c>
      <c r="H990" t="str">
        <f t="shared" si="45"/>
        <v>30-39</v>
      </c>
      <c r="I990" t="str">
        <f t="shared" si="46"/>
        <v>Obese</v>
      </c>
      <c r="J990" t="str">
        <f t="shared" si="47"/>
        <v>No</v>
      </c>
    </row>
    <row r="991" spans="1:10" x14ac:dyDescent="0.25">
      <c r="A991">
        <v>24</v>
      </c>
      <c r="B991" t="s">
        <v>7</v>
      </c>
      <c r="C991">
        <v>20.52</v>
      </c>
      <c r="D991">
        <v>0</v>
      </c>
      <c r="E991" t="s">
        <v>8</v>
      </c>
      <c r="F991" t="s">
        <v>14</v>
      </c>
      <c r="G991">
        <v>14571.890799999999</v>
      </c>
      <c r="H991" t="str">
        <f t="shared" si="45"/>
        <v>18-29</v>
      </c>
      <c r="I991" t="str">
        <f t="shared" si="46"/>
        <v>Normal</v>
      </c>
      <c r="J991" t="str">
        <f t="shared" si="47"/>
        <v>No</v>
      </c>
    </row>
    <row r="992" spans="1:10" x14ac:dyDescent="0.25">
      <c r="A992">
        <v>26</v>
      </c>
      <c r="B992" t="s">
        <v>7</v>
      </c>
      <c r="C992">
        <v>19.8</v>
      </c>
      <c r="D992">
        <v>1</v>
      </c>
      <c r="E992" t="s">
        <v>11</v>
      </c>
      <c r="F992" t="s">
        <v>9</v>
      </c>
      <c r="G992">
        <v>3378.91</v>
      </c>
      <c r="H992" t="str">
        <f t="shared" si="45"/>
        <v>18-29</v>
      </c>
      <c r="I992" t="str">
        <f t="shared" si="46"/>
        <v>Normal</v>
      </c>
      <c r="J992" t="str">
        <f t="shared" si="47"/>
        <v>No</v>
      </c>
    </row>
    <row r="993" spans="1:10" x14ac:dyDescent="0.25">
      <c r="A993">
        <v>38</v>
      </c>
      <c r="B993" t="s">
        <v>7</v>
      </c>
      <c r="C993">
        <v>27.835000000000001</v>
      </c>
      <c r="D993">
        <v>2</v>
      </c>
      <c r="E993" t="s">
        <v>11</v>
      </c>
      <c r="F993" t="s">
        <v>14</v>
      </c>
      <c r="G993">
        <v>7144.86265</v>
      </c>
      <c r="H993" t="str">
        <f t="shared" si="45"/>
        <v>30-39</v>
      </c>
      <c r="I993" t="str">
        <f t="shared" si="46"/>
        <v>Overweight</v>
      </c>
      <c r="J993" t="str">
        <f t="shared" si="47"/>
        <v>No</v>
      </c>
    </row>
    <row r="994" spans="1:10" x14ac:dyDescent="0.25">
      <c r="A994">
        <v>50</v>
      </c>
      <c r="B994" t="s">
        <v>7</v>
      </c>
      <c r="C994">
        <v>31.6</v>
      </c>
      <c r="D994">
        <v>2</v>
      </c>
      <c r="E994" t="s">
        <v>11</v>
      </c>
      <c r="F994" t="s">
        <v>9</v>
      </c>
      <c r="G994">
        <v>10118.424000000001</v>
      </c>
      <c r="H994" t="str">
        <f t="shared" si="45"/>
        <v>50-59</v>
      </c>
      <c r="I994" t="str">
        <f t="shared" si="46"/>
        <v>Obese</v>
      </c>
      <c r="J994" t="str">
        <f t="shared" si="47"/>
        <v>No</v>
      </c>
    </row>
    <row r="995" spans="1:10" x14ac:dyDescent="0.25">
      <c r="A995">
        <v>38</v>
      </c>
      <c r="B995" t="s">
        <v>10</v>
      </c>
      <c r="C995">
        <v>28.27</v>
      </c>
      <c r="D995">
        <v>1</v>
      </c>
      <c r="E995" t="s">
        <v>11</v>
      </c>
      <c r="F995" t="s">
        <v>12</v>
      </c>
      <c r="G995">
        <v>5484.4673000000003</v>
      </c>
      <c r="H995" t="str">
        <f t="shared" si="45"/>
        <v>30-39</v>
      </c>
      <c r="I995" t="str">
        <f t="shared" si="46"/>
        <v>Overweight</v>
      </c>
      <c r="J995" t="str">
        <f t="shared" si="47"/>
        <v>No</v>
      </c>
    </row>
    <row r="996" spans="1:10" x14ac:dyDescent="0.25">
      <c r="A996">
        <v>27</v>
      </c>
      <c r="B996" t="s">
        <v>7</v>
      </c>
      <c r="C996">
        <v>20.045000000000002</v>
      </c>
      <c r="D996">
        <v>3</v>
      </c>
      <c r="E996" t="s">
        <v>8</v>
      </c>
      <c r="F996" t="s">
        <v>13</v>
      </c>
      <c r="G996">
        <v>16420.494549999999</v>
      </c>
      <c r="H996" t="str">
        <f t="shared" si="45"/>
        <v>18-29</v>
      </c>
      <c r="I996" t="str">
        <f t="shared" si="46"/>
        <v>Normal</v>
      </c>
      <c r="J996" t="str">
        <f t="shared" si="47"/>
        <v>No</v>
      </c>
    </row>
    <row r="997" spans="1:10" x14ac:dyDescent="0.25">
      <c r="A997">
        <v>39</v>
      </c>
      <c r="B997" t="s">
        <v>7</v>
      </c>
      <c r="C997">
        <v>23.274999999999999</v>
      </c>
      <c r="D997">
        <v>3</v>
      </c>
      <c r="E997" t="s">
        <v>11</v>
      </c>
      <c r="F997" t="s">
        <v>14</v>
      </c>
      <c r="G997">
        <v>7986.4752500000004</v>
      </c>
      <c r="H997" t="str">
        <f t="shared" si="45"/>
        <v>30-39</v>
      </c>
      <c r="I997" t="str">
        <f t="shared" si="46"/>
        <v>Normal</v>
      </c>
      <c r="J997" t="str">
        <f t="shared" si="47"/>
        <v>No</v>
      </c>
    </row>
    <row r="998" spans="1:10" x14ac:dyDescent="0.25">
      <c r="A998">
        <v>39</v>
      </c>
      <c r="B998" t="s">
        <v>7</v>
      </c>
      <c r="C998">
        <v>34.1</v>
      </c>
      <c r="D998">
        <v>3</v>
      </c>
      <c r="E998" t="s">
        <v>11</v>
      </c>
      <c r="F998" t="s">
        <v>9</v>
      </c>
      <c r="G998">
        <v>7418.5219999999999</v>
      </c>
      <c r="H998" t="str">
        <f t="shared" si="45"/>
        <v>30-39</v>
      </c>
      <c r="I998" t="str">
        <f t="shared" si="46"/>
        <v>Obese</v>
      </c>
      <c r="J998" t="str">
        <f t="shared" si="47"/>
        <v>No</v>
      </c>
    </row>
    <row r="999" spans="1:10" x14ac:dyDescent="0.25">
      <c r="A999">
        <v>63</v>
      </c>
      <c r="B999" t="s">
        <v>7</v>
      </c>
      <c r="C999">
        <v>36.85</v>
      </c>
      <c r="D999">
        <v>0</v>
      </c>
      <c r="E999" t="s">
        <v>11</v>
      </c>
      <c r="F999" t="s">
        <v>12</v>
      </c>
      <c r="G999">
        <v>13887.968500000001</v>
      </c>
      <c r="H999" t="str">
        <f t="shared" si="45"/>
        <v>60+</v>
      </c>
      <c r="I999" t="str">
        <f t="shared" si="46"/>
        <v>Obese</v>
      </c>
      <c r="J999" t="str">
        <f t="shared" si="47"/>
        <v>No</v>
      </c>
    </row>
    <row r="1000" spans="1:10" x14ac:dyDescent="0.25">
      <c r="A1000">
        <v>33</v>
      </c>
      <c r="B1000" t="s">
        <v>7</v>
      </c>
      <c r="C1000">
        <v>36.29</v>
      </c>
      <c r="D1000">
        <v>3</v>
      </c>
      <c r="E1000" t="s">
        <v>11</v>
      </c>
      <c r="F1000" t="s">
        <v>14</v>
      </c>
      <c r="G1000">
        <v>6551.7501000000002</v>
      </c>
      <c r="H1000" t="str">
        <f t="shared" si="45"/>
        <v>30-39</v>
      </c>
      <c r="I1000" t="str">
        <f t="shared" si="46"/>
        <v>Obese</v>
      </c>
      <c r="J1000" t="str">
        <f t="shared" si="47"/>
        <v>No</v>
      </c>
    </row>
    <row r="1001" spans="1:10" x14ac:dyDescent="0.25">
      <c r="A1001">
        <v>36</v>
      </c>
      <c r="B1001" t="s">
        <v>7</v>
      </c>
      <c r="C1001">
        <v>26.885000000000002</v>
      </c>
      <c r="D1001">
        <v>0</v>
      </c>
      <c r="E1001" t="s">
        <v>11</v>
      </c>
      <c r="F1001" t="s">
        <v>13</v>
      </c>
      <c r="G1001">
        <v>5267.8181500000001</v>
      </c>
      <c r="H1001" t="str">
        <f t="shared" si="45"/>
        <v>30-39</v>
      </c>
      <c r="I1001" t="str">
        <f t="shared" si="46"/>
        <v>Overweight</v>
      </c>
      <c r="J1001" t="str">
        <f t="shared" si="47"/>
        <v>No</v>
      </c>
    </row>
    <row r="1002" spans="1:10" x14ac:dyDescent="0.25">
      <c r="A1002">
        <v>30</v>
      </c>
      <c r="B1002" t="s">
        <v>10</v>
      </c>
      <c r="C1002">
        <v>22.99</v>
      </c>
      <c r="D1002">
        <v>2</v>
      </c>
      <c r="E1002" t="s">
        <v>8</v>
      </c>
      <c r="F1002" t="s">
        <v>13</v>
      </c>
      <c r="G1002">
        <v>17361.766100000001</v>
      </c>
      <c r="H1002" t="str">
        <f t="shared" si="45"/>
        <v>30-39</v>
      </c>
      <c r="I1002" t="str">
        <f t="shared" si="46"/>
        <v>Normal</v>
      </c>
      <c r="J1002" t="str">
        <f t="shared" si="47"/>
        <v>No</v>
      </c>
    </row>
    <row r="1003" spans="1:10" x14ac:dyDescent="0.25">
      <c r="A1003">
        <v>24</v>
      </c>
      <c r="B1003" t="s">
        <v>10</v>
      </c>
      <c r="C1003">
        <v>32.700000000000003</v>
      </c>
      <c r="D1003">
        <v>0</v>
      </c>
      <c r="E1003" t="s">
        <v>8</v>
      </c>
      <c r="F1003" t="s">
        <v>9</v>
      </c>
      <c r="G1003">
        <v>34472.841</v>
      </c>
      <c r="H1003" t="str">
        <f t="shared" si="45"/>
        <v>18-29</v>
      </c>
      <c r="I1003" t="str">
        <f t="shared" si="46"/>
        <v>Obese</v>
      </c>
      <c r="J1003" t="str">
        <f t="shared" si="47"/>
        <v>Yes</v>
      </c>
    </row>
    <row r="1004" spans="1:10" x14ac:dyDescent="0.25">
      <c r="A1004">
        <v>24</v>
      </c>
      <c r="B1004" t="s">
        <v>10</v>
      </c>
      <c r="C1004">
        <v>25.8</v>
      </c>
      <c r="D1004">
        <v>0</v>
      </c>
      <c r="E1004" t="s">
        <v>11</v>
      </c>
      <c r="F1004" t="s">
        <v>9</v>
      </c>
      <c r="G1004">
        <v>1972.95</v>
      </c>
      <c r="H1004" t="str">
        <f t="shared" si="45"/>
        <v>18-29</v>
      </c>
      <c r="I1004" t="str">
        <f t="shared" si="46"/>
        <v>Overweight</v>
      </c>
      <c r="J1004" t="str">
        <f t="shared" si="47"/>
        <v>No</v>
      </c>
    </row>
    <row r="1005" spans="1:10" x14ac:dyDescent="0.25">
      <c r="A1005">
        <v>48</v>
      </c>
      <c r="B1005" t="s">
        <v>10</v>
      </c>
      <c r="C1005">
        <v>29.6</v>
      </c>
      <c r="D1005">
        <v>0</v>
      </c>
      <c r="E1005" t="s">
        <v>11</v>
      </c>
      <c r="F1005" t="s">
        <v>9</v>
      </c>
      <c r="G1005">
        <v>21232.182260000001</v>
      </c>
      <c r="H1005" t="str">
        <f t="shared" si="45"/>
        <v>40-49</v>
      </c>
      <c r="I1005" t="str">
        <f t="shared" si="46"/>
        <v>Overweight</v>
      </c>
      <c r="J1005" t="str">
        <f t="shared" si="47"/>
        <v>Yes</v>
      </c>
    </row>
    <row r="1006" spans="1:10" x14ac:dyDescent="0.25">
      <c r="A1006">
        <v>47</v>
      </c>
      <c r="B1006" t="s">
        <v>10</v>
      </c>
      <c r="C1006">
        <v>19.190000000000001</v>
      </c>
      <c r="D1006">
        <v>1</v>
      </c>
      <c r="E1006" t="s">
        <v>11</v>
      </c>
      <c r="F1006" t="s">
        <v>14</v>
      </c>
      <c r="G1006">
        <v>8627.5411000000004</v>
      </c>
      <c r="H1006" t="str">
        <f t="shared" si="45"/>
        <v>40-49</v>
      </c>
      <c r="I1006" t="str">
        <f t="shared" si="46"/>
        <v>Normal</v>
      </c>
      <c r="J1006" t="str">
        <f t="shared" si="47"/>
        <v>No</v>
      </c>
    </row>
    <row r="1007" spans="1:10" x14ac:dyDescent="0.25">
      <c r="A1007">
        <v>29</v>
      </c>
      <c r="B1007" t="s">
        <v>10</v>
      </c>
      <c r="C1007">
        <v>31.73</v>
      </c>
      <c r="D1007">
        <v>2</v>
      </c>
      <c r="E1007" t="s">
        <v>11</v>
      </c>
      <c r="F1007" t="s">
        <v>13</v>
      </c>
      <c r="G1007">
        <v>4433.3877000000002</v>
      </c>
      <c r="H1007" t="str">
        <f t="shared" si="45"/>
        <v>18-29</v>
      </c>
      <c r="I1007" t="str">
        <f t="shared" si="46"/>
        <v>Obese</v>
      </c>
      <c r="J1007" t="str">
        <f t="shared" si="47"/>
        <v>No</v>
      </c>
    </row>
    <row r="1008" spans="1:10" x14ac:dyDescent="0.25">
      <c r="A1008">
        <v>28</v>
      </c>
      <c r="B1008" t="s">
        <v>10</v>
      </c>
      <c r="C1008">
        <v>29.26</v>
      </c>
      <c r="D1008">
        <v>2</v>
      </c>
      <c r="E1008" t="s">
        <v>11</v>
      </c>
      <c r="F1008" t="s">
        <v>14</v>
      </c>
      <c r="G1008">
        <v>4438.2633999999998</v>
      </c>
      <c r="H1008" t="str">
        <f t="shared" si="45"/>
        <v>18-29</v>
      </c>
      <c r="I1008" t="str">
        <f t="shared" si="46"/>
        <v>Overweight</v>
      </c>
      <c r="J1008" t="str">
        <f t="shared" si="47"/>
        <v>No</v>
      </c>
    </row>
    <row r="1009" spans="1:10" x14ac:dyDescent="0.25">
      <c r="A1009">
        <v>47</v>
      </c>
      <c r="B1009" t="s">
        <v>10</v>
      </c>
      <c r="C1009">
        <v>28.215</v>
      </c>
      <c r="D1009">
        <v>3</v>
      </c>
      <c r="E1009" t="s">
        <v>8</v>
      </c>
      <c r="F1009" t="s">
        <v>13</v>
      </c>
      <c r="G1009">
        <v>24915.220850000002</v>
      </c>
      <c r="H1009" t="str">
        <f t="shared" si="45"/>
        <v>40-49</v>
      </c>
      <c r="I1009" t="str">
        <f t="shared" si="46"/>
        <v>Overweight</v>
      </c>
      <c r="J1009" t="str">
        <f t="shared" si="47"/>
        <v>Yes</v>
      </c>
    </row>
    <row r="1010" spans="1:10" x14ac:dyDescent="0.25">
      <c r="A1010">
        <v>25</v>
      </c>
      <c r="B1010" t="s">
        <v>10</v>
      </c>
      <c r="C1010">
        <v>24.984999999999999</v>
      </c>
      <c r="D1010">
        <v>2</v>
      </c>
      <c r="E1010" t="s">
        <v>11</v>
      </c>
      <c r="F1010" t="s">
        <v>14</v>
      </c>
      <c r="G1010">
        <v>23241.47453</v>
      </c>
      <c r="H1010" t="str">
        <f t="shared" si="45"/>
        <v>18-29</v>
      </c>
      <c r="I1010" t="str">
        <f t="shared" si="46"/>
        <v>Normal</v>
      </c>
      <c r="J1010" t="str">
        <f t="shared" si="47"/>
        <v>Yes</v>
      </c>
    </row>
    <row r="1011" spans="1:10" x14ac:dyDescent="0.25">
      <c r="A1011">
        <v>51</v>
      </c>
      <c r="B1011" t="s">
        <v>10</v>
      </c>
      <c r="C1011">
        <v>27.74</v>
      </c>
      <c r="D1011">
        <v>1</v>
      </c>
      <c r="E1011" t="s">
        <v>11</v>
      </c>
      <c r="F1011" t="s">
        <v>14</v>
      </c>
      <c r="G1011">
        <v>9957.7216000000008</v>
      </c>
      <c r="H1011" t="str">
        <f t="shared" si="45"/>
        <v>50-59</v>
      </c>
      <c r="I1011" t="str">
        <f t="shared" si="46"/>
        <v>Overweight</v>
      </c>
      <c r="J1011" t="str">
        <f t="shared" si="47"/>
        <v>No</v>
      </c>
    </row>
    <row r="1012" spans="1:10" x14ac:dyDescent="0.25">
      <c r="A1012">
        <v>48</v>
      </c>
      <c r="B1012" t="s">
        <v>7</v>
      </c>
      <c r="C1012">
        <v>22.8</v>
      </c>
      <c r="D1012">
        <v>0</v>
      </c>
      <c r="E1012" t="s">
        <v>11</v>
      </c>
      <c r="F1012" t="s">
        <v>9</v>
      </c>
      <c r="G1012">
        <v>8269.0439999999999</v>
      </c>
      <c r="H1012" t="str">
        <f t="shared" si="45"/>
        <v>40-49</v>
      </c>
      <c r="I1012" t="str">
        <f t="shared" si="46"/>
        <v>Normal</v>
      </c>
      <c r="J1012" t="str">
        <f t="shared" si="47"/>
        <v>No</v>
      </c>
    </row>
    <row r="1013" spans="1:10" x14ac:dyDescent="0.25">
      <c r="A1013">
        <v>43</v>
      </c>
      <c r="B1013" t="s">
        <v>10</v>
      </c>
      <c r="C1013">
        <v>20.13</v>
      </c>
      <c r="D1013">
        <v>2</v>
      </c>
      <c r="E1013" t="s">
        <v>8</v>
      </c>
      <c r="F1013" t="s">
        <v>12</v>
      </c>
      <c r="G1013">
        <v>18767.737700000001</v>
      </c>
      <c r="H1013" t="str">
        <f t="shared" si="45"/>
        <v>40-49</v>
      </c>
      <c r="I1013" t="str">
        <f t="shared" si="46"/>
        <v>Normal</v>
      </c>
      <c r="J1013" t="str">
        <f t="shared" si="47"/>
        <v>No</v>
      </c>
    </row>
    <row r="1014" spans="1:10" x14ac:dyDescent="0.25">
      <c r="A1014">
        <v>61</v>
      </c>
      <c r="B1014" t="s">
        <v>7</v>
      </c>
      <c r="C1014">
        <v>33.33</v>
      </c>
      <c r="D1014">
        <v>4</v>
      </c>
      <c r="E1014" t="s">
        <v>11</v>
      </c>
      <c r="F1014" t="s">
        <v>12</v>
      </c>
      <c r="G1014">
        <v>36580.282160000002</v>
      </c>
      <c r="H1014" t="str">
        <f t="shared" si="45"/>
        <v>60+</v>
      </c>
      <c r="I1014" t="str">
        <f t="shared" si="46"/>
        <v>Obese</v>
      </c>
      <c r="J1014" t="str">
        <f t="shared" si="47"/>
        <v>Yes</v>
      </c>
    </row>
    <row r="1015" spans="1:10" x14ac:dyDescent="0.25">
      <c r="A1015">
        <v>48</v>
      </c>
      <c r="B1015" t="s">
        <v>10</v>
      </c>
      <c r="C1015">
        <v>32.299999999999997</v>
      </c>
      <c r="D1015">
        <v>1</v>
      </c>
      <c r="E1015" t="s">
        <v>11</v>
      </c>
      <c r="F1015" t="s">
        <v>13</v>
      </c>
      <c r="G1015">
        <v>8765.2489999999998</v>
      </c>
      <c r="H1015" t="str">
        <f t="shared" si="45"/>
        <v>40-49</v>
      </c>
      <c r="I1015" t="str">
        <f t="shared" si="46"/>
        <v>Obese</v>
      </c>
      <c r="J1015" t="str">
        <f t="shared" si="47"/>
        <v>No</v>
      </c>
    </row>
    <row r="1016" spans="1:10" x14ac:dyDescent="0.25">
      <c r="A1016">
        <v>38</v>
      </c>
      <c r="B1016" t="s">
        <v>7</v>
      </c>
      <c r="C1016">
        <v>27.6</v>
      </c>
      <c r="D1016">
        <v>0</v>
      </c>
      <c r="E1016" t="s">
        <v>11</v>
      </c>
      <c r="F1016" t="s">
        <v>9</v>
      </c>
      <c r="G1016">
        <v>5383.5360000000001</v>
      </c>
      <c r="H1016" t="str">
        <f t="shared" si="45"/>
        <v>30-39</v>
      </c>
      <c r="I1016" t="str">
        <f t="shared" si="46"/>
        <v>Overweight</v>
      </c>
      <c r="J1016" t="str">
        <f t="shared" si="47"/>
        <v>No</v>
      </c>
    </row>
    <row r="1017" spans="1:10" x14ac:dyDescent="0.25">
      <c r="A1017">
        <v>59</v>
      </c>
      <c r="B1017" t="s">
        <v>10</v>
      </c>
      <c r="C1017">
        <v>25.46</v>
      </c>
      <c r="D1017">
        <v>0</v>
      </c>
      <c r="E1017" t="s">
        <v>11</v>
      </c>
      <c r="F1017" t="s">
        <v>13</v>
      </c>
      <c r="G1017">
        <v>12124.992399999999</v>
      </c>
      <c r="H1017" t="str">
        <f t="shared" si="45"/>
        <v>50-59</v>
      </c>
      <c r="I1017" t="str">
        <f t="shared" si="46"/>
        <v>Overweight</v>
      </c>
      <c r="J1017" t="str">
        <f t="shared" si="47"/>
        <v>No</v>
      </c>
    </row>
    <row r="1018" spans="1:10" x14ac:dyDescent="0.25">
      <c r="A1018">
        <v>19</v>
      </c>
      <c r="B1018" t="s">
        <v>7</v>
      </c>
      <c r="C1018">
        <v>24.605</v>
      </c>
      <c r="D1018">
        <v>1</v>
      </c>
      <c r="E1018" t="s">
        <v>11</v>
      </c>
      <c r="F1018" t="s">
        <v>13</v>
      </c>
      <c r="G1018">
        <v>2709.24395</v>
      </c>
      <c r="H1018" t="str">
        <f t="shared" si="45"/>
        <v>18-29</v>
      </c>
      <c r="I1018" t="str">
        <f t="shared" si="46"/>
        <v>Normal</v>
      </c>
      <c r="J1018" t="str">
        <f t="shared" si="47"/>
        <v>No</v>
      </c>
    </row>
    <row r="1019" spans="1:10" x14ac:dyDescent="0.25">
      <c r="A1019">
        <v>26</v>
      </c>
      <c r="B1019" t="s">
        <v>7</v>
      </c>
      <c r="C1019">
        <v>34.200000000000003</v>
      </c>
      <c r="D1019">
        <v>2</v>
      </c>
      <c r="E1019" t="s">
        <v>11</v>
      </c>
      <c r="F1019" t="s">
        <v>9</v>
      </c>
      <c r="G1019">
        <v>3987.9259999999999</v>
      </c>
      <c r="H1019" t="str">
        <f t="shared" si="45"/>
        <v>18-29</v>
      </c>
      <c r="I1019" t="str">
        <f t="shared" si="46"/>
        <v>Obese</v>
      </c>
      <c r="J1019" t="str">
        <f t="shared" si="47"/>
        <v>No</v>
      </c>
    </row>
    <row r="1020" spans="1:10" x14ac:dyDescent="0.25">
      <c r="A1020">
        <v>54</v>
      </c>
      <c r="B1020" t="s">
        <v>7</v>
      </c>
      <c r="C1020">
        <v>35.814999999999998</v>
      </c>
      <c r="D1020">
        <v>3</v>
      </c>
      <c r="E1020" t="s">
        <v>11</v>
      </c>
      <c r="F1020" t="s">
        <v>13</v>
      </c>
      <c r="G1020">
        <v>12495.290849999999</v>
      </c>
      <c r="H1020" t="str">
        <f t="shared" si="45"/>
        <v>50-59</v>
      </c>
      <c r="I1020" t="str">
        <f t="shared" si="46"/>
        <v>Obese</v>
      </c>
      <c r="J1020" t="str">
        <f t="shared" si="47"/>
        <v>No</v>
      </c>
    </row>
    <row r="1021" spans="1:10" x14ac:dyDescent="0.25">
      <c r="A1021">
        <v>21</v>
      </c>
      <c r="B1021" t="s">
        <v>7</v>
      </c>
      <c r="C1021">
        <v>32.68</v>
      </c>
      <c r="D1021">
        <v>2</v>
      </c>
      <c r="E1021" t="s">
        <v>11</v>
      </c>
      <c r="F1021" t="s">
        <v>13</v>
      </c>
      <c r="G1021">
        <v>26018.950519999999</v>
      </c>
      <c r="H1021" t="str">
        <f t="shared" si="45"/>
        <v>18-29</v>
      </c>
      <c r="I1021" t="str">
        <f t="shared" si="46"/>
        <v>Obese</v>
      </c>
      <c r="J1021" t="str">
        <f t="shared" si="47"/>
        <v>Yes</v>
      </c>
    </row>
    <row r="1022" spans="1:10" x14ac:dyDescent="0.25">
      <c r="A1022">
        <v>51</v>
      </c>
      <c r="B1022" t="s">
        <v>10</v>
      </c>
      <c r="C1022">
        <v>37</v>
      </c>
      <c r="D1022">
        <v>0</v>
      </c>
      <c r="E1022" t="s">
        <v>11</v>
      </c>
      <c r="F1022" t="s">
        <v>9</v>
      </c>
      <c r="G1022">
        <v>8798.5930000000008</v>
      </c>
      <c r="H1022" t="str">
        <f t="shared" si="45"/>
        <v>50-59</v>
      </c>
      <c r="I1022" t="str">
        <f t="shared" si="46"/>
        <v>Obese</v>
      </c>
      <c r="J1022" t="str">
        <f t="shared" si="47"/>
        <v>No</v>
      </c>
    </row>
    <row r="1023" spans="1:10" x14ac:dyDescent="0.25">
      <c r="A1023">
        <v>22</v>
      </c>
      <c r="B1023" t="s">
        <v>7</v>
      </c>
      <c r="C1023">
        <v>31.02</v>
      </c>
      <c r="D1023">
        <v>3</v>
      </c>
      <c r="E1023" t="s">
        <v>8</v>
      </c>
      <c r="F1023" t="s">
        <v>12</v>
      </c>
      <c r="G1023">
        <v>35595.589800000002</v>
      </c>
      <c r="H1023" t="str">
        <f t="shared" si="45"/>
        <v>18-29</v>
      </c>
      <c r="I1023" t="str">
        <f t="shared" si="46"/>
        <v>Obese</v>
      </c>
      <c r="J1023" t="str">
        <f t="shared" si="47"/>
        <v>Yes</v>
      </c>
    </row>
    <row r="1024" spans="1:10" x14ac:dyDescent="0.25">
      <c r="A1024">
        <v>47</v>
      </c>
      <c r="B1024" t="s">
        <v>10</v>
      </c>
      <c r="C1024">
        <v>36.08</v>
      </c>
      <c r="D1024">
        <v>1</v>
      </c>
      <c r="E1024" t="s">
        <v>8</v>
      </c>
      <c r="F1024" t="s">
        <v>12</v>
      </c>
      <c r="G1024">
        <v>42211.138200000001</v>
      </c>
      <c r="H1024" t="str">
        <f t="shared" si="45"/>
        <v>40-49</v>
      </c>
      <c r="I1024" t="str">
        <f t="shared" si="46"/>
        <v>Obese</v>
      </c>
      <c r="J1024" t="str">
        <f t="shared" si="47"/>
        <v>Yes</v>
      </c>
    </row>
    <row r="1025" spans="1:10" x14ac:dyDescent="0.25">
      <c r="A1025">
        <v>18</v>
      </c>
      <c r="B1025" t="s">
        <v>10</v>
      </c>
      <c r="C1025">
        <v>23.32</v>
      </c>
      <c r="D1025">
        <v>1</v>
      </c>
      <c r="E1025" t="s">
        <v>11</v>
      </c>
      <c r="F1025" t="s">
        <v>12</v>
      </c>
      <c r="G1025">
        <v>1711.0268000000001</v>
      </c>
      <c r="H1025" t="str">
        <f t="shared" si="45"/>
        <v>18-29</v>
      </c>
      <c r="I1025" t="str">
        <f t="shared" si="46"/>
        <v>Normal</v>
      </c>
      <c r="J1025" t="str">
        <f t="shared" si="47"/>
        <v>No</v>
      </c>
    </row>
    <row r="1026" spans="1:10" x14ac:dyDescent="0.25">
      <c r="A1026">
        <v>47</v>
      </c>
      <c r="B1026" t="s">
        <v>7</v>
      </c>
      <c r="C1026">
        <v>45.32</v>
      </c>
      <c r="D1026">
        <v>1</v>
      </c>
      <c r="E1026" t="s">
        <v>11</v>
      </c>
      <c r="F1026" t="s">
        <v>12</v>
      </c>
      <c r="G1026">
        <v>8569.8618000000006</v>
      </c>
      <c r="H1026" t="str">
        <f t="shared" ref="H1026:H1089" si="48">IF(A1026&lt;30, "18-29", IF(A1026&lt;40, "30-39", IF(A1026&lt;50, "40-49", IF(A1026&lt;60, "50-59", "60+"))))</f>
        <v>40-49</v>
      </c>
      <c r="I1026" t="str">
        <f t="shared" ref="I1026:I1089" si="49">IF(C1026&lt;18.5, "Underweight", IF(C1026&lt;25, "Normal", IF(C1026&lt;30,"Overweight","Obese")))</f>
        <v>Obese</v>
      </c>
      <c r="J1026" t="str">
        <f t="shared" ref="J1026:J1089" si="50">IF(G1026&gt;20000,"Yes","No")</f>
        <v>No</v>
      </c>
    </row>
    <row r="1027" spans="1:10" x14ac:dyDescent="0.25">
      <c r="A1027">
        <v>21</v>
      </c>
      <c r="B1027" t="s">
        <v>7</v>
      </c>
      <c r="C1027">
        <v>34.6</v>
      </c>
      <c r="D1027">
        <v>0</v>
      </c>
      <c r="E1027" t="s">
        <v>11</v>
      </c>
      <c r="F1027" t="s">
        <v>9</v>
      </c>
      <c r="G1027">
        <v>2020.1769999999999</v>
      </c>
      <c r="H1027" t="str">
        <f t="shared" si="48"/>
        <v>18-29</v>
      </c>
      <c r="I1027" t="str">
        <f t="shared" si="49"/>
        <v>Obese</v>
      </c>
      <c r="J1027" t="str">
        <f t="shared" si="50"/>
        <v>No</v>
      </c>
    </row>
    <row r="1028" spans="1:10" x14ac:dyDescent="0.25">
      <c r="A1028">
        <v>19</v>
      </c>
      <c r="B1028" t="s">
        <v>10</v>
      </c>
      <c r="C1028">
        <v>26.03</v>
      </c>
      <c r="D1028">
        <v>1</v>
      </c>
      <c r="E1028" t="s">
        <v>8</v>
      </c>
      <c r="F1028" t="s">
        <v>13</v>
      </c>
      <c r="G1028">
        <v>16450.894700000001</v>
      </c>
      <c r="H1028" t="str">
        <f t="shared" si="48"/>
        <v>18-29</v>
      </c>
      <c r="I1028" t="str">
        <f t="shared" si="49"/>
        <v>Overweight</v>
      </c>
      <c r="J1028" t="str">
        <f t="shared" si="50"/>
        <v>No</v>
      </c>
    </row>
    <row r="1029" spans="1:10" x14ac:dyDescent="0.25">
      <c r="A1029">
        <v>23</v>
      </c>
      <c r="B1029" t="s">
        <v>10</v>
      </c>
      <c r="C1029">
        <v>18.715</v>
      </c>
      <c r="D1029">
        <v>0</v>
      </c>
      <c r="E1029" t="s">
        <v>11</v>
      </c>
      <c r="F1029" t="s">
        <v>13</v>
      </c>
      <c r="G1029">
        <v>21595.382290000001</v>
      </c>
      <c r="H1029" t="str">
        <f t="shared" si="48"/>
        <v>18-29</v>
      </c>
      <c r="I1029" t="str">
        <f t="shared" si="49"/>
        <v>Normal</v>
      </c>
      <c r="J1029" t="str">
        <f t="shared" si="50"/>
        <v>Yes</v>
      </c>
    </row>
    <row r="1030" spans="1:10" x14ac:dyDescent="0.25">
      <c r="A1030">
        <v>54</v>
      </c>
      <c r="B1030" t="s">
        <v>10</v>
      </c>
      <c r="C1030">
        <v>31.6</v>
      </c>
      <c r="D1030">
        <v>0</v>
      </c>
      <c r="E1030" t="s">
        <v>11</v>
      </c>
      <c r="F1030" t="s">
        <v>9</v>
      </c>
      <c r="G1030">
        <v>9850.4320000000007</v>
      </c>
      <c r="H1030" t="str">
        <f t="shared" si="48"/>
        <v>50-59</v>
      </c>
      <c r="I1030" t="str">
        <f t="shared" si="49"/>
        <v>Obese</v>
      </c>
      <c r="J1030" t="str">
        <f t="shared" si="50"/>
        <v>No</v>
      </c>
    </row>
    <row r="1031" spans="1:10" x14ac:dyDescent="0.25">
      <c r="A1031">
        <v>37</v>
      </c>
      <c r="B1031" t="s">
        <v>7</v>
      </c>
      <c r="C1031">
        <v>17.29</v>
      </c>
      <c r="D1031">
        <v>2</v>
      </c>
      <c r="E1031" t="s">
        <v>11</v>
      </c>
      <c r="F1031" t="s">
        <v>14</v>
      </c>
      <c r="G1031">
        <v>6877.9800999999998</v>
      </c>
      <c r="H1031" t="str">
        <f t="shared" si="48"/>
        <v>30-39</v>
      </c>
      <c r="I1031" t="str">
        <f t="shared" si="49"/>
        <v>Underweight</v>
      </c>
      <c r="J1031" t="str">
        <f t="shared" si="50"/>
        <v>No</v>
      </c>
    </row>
    <row r="1032" spans="1:10" x14ac:dyDescent="0.25">
      <c r="A1032">
        <v>46</v>
      </c>
      <c r="B1032" t="s">
        <v>7</v>
      </c>
      <c r="C1032">
        <v>23.655000000000001</v>
      </c>
      <c r="D1032">
        <v>1</v>
      </c>
      <c r="E1032" t="s">
        <v>8</v>
      </c>
      <c r="F1032" t="s">
        <v>13</v>
      </c>
      <c r="G1032">
        <v>21677.283449999999</v>
      </c>
      <c r="H1032" t="str">
        <f t="shared" si="48"/>
        <v>40-49</v>
      </c>
      <c r="I1032" t="str">
        <f t="shared" si="49"/>
        <v>Normal</v>
      </c>
      <c r="J1032" t="str">
        <f t="shared" si="50"/>
        <v>Yes</v>
      </c>
    </row>
    <row r="1033" spans="1:10" x14ac:dyDescent="0.25">
      <c r="A1033">
        <v>55</v>
      </c>
      <c r="B1033" t="s">
        <v>7</v>
      </c>
      <c r="C1033">
        <v>35.200000000000003</v>
      </c>
      <c r="D1033">
        <v>0</v>
      </c>
      <c r="E1033" t="s">
        <v>8</v>
      </c>
      <c r="F1033" t="s">
        <v>12</v>
      </c>
      <c r="G1033">
        <v>44423.803</v>
      </c>
      <c r="H1033" t="str">
        <f t="shared" si="48"/>
        <v>50-59</v>
      </c>
      <c r="I1033" t="str">
        <f t="shared" si="49"/>
        <v>Obese</v>
      </c>
      <c r="J1033" t="str">
        <f t="shared" si="50"/>
        <v>Yes</v>
      </c>
    </row>
    <row r="1034" spans="1:10" x14ac:dyDescent="0.25">
      <c r="A1034">
        <v>30</v>
      </c>
      <c r="B1034" t="s">
        <v>7</v>
      </c>
      <c r="C1034">
        <v>27.93</v>
      </c>
      <c r="D1034">
        <v>0</v>
      </c>
      <c r="E1034" t="s">
        <v>11</v>
      </c>
      <c r="F1034" t="s">
        <v>14</v>
      </c>
      <c r="G1034">
        <v>4137.5227000000004</v>
      </c>
      <c r="H1034" t="str">
        <f t="shared" si="48"/>
        <v>30-39</v>
      </c>
      <c r="I1034" t="str">
        <f t="shared" si="49"/>
        <v>Overweight</v>
      </c>
      <c r="J1034" t="str">
        <f t="shared" si="50"/>
        <v>No</v>
      </c>
    </row>
    <row r="1035" spans="1:10" x14ac:dyDescent="0.25">
      <c r="A1035">
        <v>18</v>
      </c>
      <c r="B1035" t="s">
        <v>10</v>
      </c>
      <c r="C1035">
        <v>21.565000000000001</v>
      </c>
      <c r="D1035">
        <v>0</v>
      </c>
      <c r="E1035" t="s">
        <v>8</v>
      </c>
      <c r="F1035" t="s">
        <v>14</v>
      </c>
      <c r="G1035">
        <v>13747.87235</v>
      </c>
      <c r="H1035" t="str">
        <f t="shared" si="48"/>
        <v>18-29</v>
      </c>
      <c r="I1035" t="str">
        <f t="shared" si="49"/>
        <v>Normal</v>
      </c>
      <c r="J1035" t="str">
        <f t="shared" si="50"/>
        <v>No</v>
      </c>
    </row>
    <row r="1036" spans="1:10" x14ac:dyDescent="0.25">
      <c r="A1036">
        <v>61</v>
      </c>
      <c r="B1036" t="s">
        <v>10</v>
      </c>
      <c r="C1036">
        <v>38.380000000000003</v>
      </c>
      <c r="D1036">
        <v>0</v>
      </c>
      <c r="E1036" t="s">
        <v>11</v>
      </c>
      <c r="F1036" t="s">
        <v>13</v>
      </c>
      <c r="G1036">
        <v>12950.0712</v>
      </c>
      <c r="H1036" t="str">
        <f t="shared" si="48"/>
        <v>60+</v>
      </c>
      <c r="I1036" t="str">
        <f t="shared" si="49"/>
        <v>Obese</v>
      </c>
      <c r="J1036" t="str">
        <f t="shared" si="50"/>
        <v>No</v>
      </c>
    </row>
    <row r="1037" spans="1:10" x14ac:dyDescent="0.25">
      <c r="A1037">
        <v>54</v>
      </c>
      <c r="B1037" t="s">
        <v>7</v>
      </c>
      <c r="C1037">
        <v>23</v>
      </c>
      <c r="D1037">
        <v>3</v>
      </c>
      <c r="E1037" t="s">
        <v>11</v>
      </c>
      <c r="F1037" t="s">
        <v>9</v>
      </c>
      <c r="G1037">
        <v>12094.477999999999</v>
      </c>
      <c r="H1037" t="str">
        <f t="shared" si="48"/>
        <v>50-59</v>
      </c>
      <c r="I1037" t="str">
        <f t="shared" si="49"/>
        <v>Normal</v>
      </c>
      <c r="J1037" t="str">
        <f t="shared" si="50"/>
        <v>No</v>
      </c>
    </row>
    <row r="1038" spans="1:10" x14ac:dyDescent="0.25">
      <c r="A1038">
        <v>22</v>
      </c>
      <c r="B1038" t="s">
        <v>10</v>
      </c>
      <c r="C1038">
        <v>37.07</v>
      </c>
      <c r="D1038">
        <v>2</v>
      </c>
      <c r="E1038" t="s">
        <v>8</v>
      </c>
      <c r="F1038" t="s">
        <v>12</v>
      </c>
      <c r="G1038">
        <v>37484.4493</v>
      </c>
      <c r="H1038" t="str">
        <f t="shared" si="48"/>
        <v>18-29</v>
      </c>
      <c r="I1038" t="str">
        <f t="shared" si="49"/>
        <v>Obese</v>
      </c>
      <c r="J1038" t="str">
        <f t="shared" si="50"/>
        <v>Yes</v>
      </c>
    </row>
    <row r="1039" spans="1:10" x14ac:dyDescent="0.25">
      <c r="A1039">
        <v>45</v>
      </c>
      <c r="B1039" t="s">
        <v>7</v>
      </c>
      <c r="C1039">
        <v>30.495000000000001</v>
      </c>
      <c r="D1039">
        <v>1</v>
      </c>
      <c r="E1039" t="s">
        <v>8</v>
      </c>
      <c r="F1039" t="s">
        <v>13</v>
      </c>
      <c r="G1039">
        <v>39725.518049999999</v>
      </c>
      <c r="H1039" t="str">
        <f t="shared" si="48"/>
        <v>40-49</v>
      </c>
      <c r="I1039" t="str">
        <f t="shared" si="49"/>
        <v>Obese</v>
      </c>
      <c r="J1039" t="str">
        <f t="shared" si="50"/>
        <v>Yes</v>
      </c>
    </row>
    <row r="1040" spans="1:10" x14ac:dyDescent="0.25">
      <c r="A1040">
        <v>22</v>
      </c>
      <c r="B1040" t="s">
        <v>10</v>
      </c>
      <c r="C1040">
        <v>28.88</v>
      </c>
      <c r="D1040">
        <v>0</v>
      </c>
      <c r="E1040" t="s">
        <v>11</v>
      </c>
      <c r="F1040" t="s">
        <v>14</v>
      </c>
      <c r="G1040">
        <v>2250.8352</v>
      </c>
      <c r="H1040" t="str">
        <f t="shared" si="48"/>
        <v>18-29</v>
      </c>
      <c r="I1040" t="str">
        <f t="shared" si="49"/>
        <v>Overweight</v>
      </c>
      <c r="J1040" t="str">
        <f t="shared" si="50"/>
        <v>No</v>
      </c>
    </row>
    <row r="1041" spans="1:10" x14ac:dyDescent="0.25">
      <c r="A1041">
        <v>19</v>
      </c>
      <c r="B1041" t="s">
        <v>10</v>
      </c>
      <c r="C1041">
        <v>27.265000000000001</v>
      </c>
      <c r="D1041">
        <v>2</v>
      </c>
      <c r="E1041" t="s">
        <v>11</v>
      </c>
      <c r="F1041" t="s">
        <v>13</v>
      </c>
      <c r="G1041">
        <v>22493.659640000002</v>
      </c>
      <c r="H1041" t="str">
        <f t="shared" si="48"/>
        <v>18-29</v>
      </c>
      <c r="I1041" t="str">
        <f t="shared" si="49"/>
        <v>Overweight</v>
      </c>
      <c r="J1041" t="str">
        <f t="shared" si="50"/>
        <v>Yes</v>
      </c>
    </row>
    <row r="1042" spans="1:10" x14ac:dyDescent="0.25">
      <c r="A1042">
        <v>35</v>
      </c>
      <c r="B1042" t="s">
        <v>7</v>
      </c>
      <c r="C1042">
        <v>28.024999999999999</v>
      </c>
      <c r="D1042">
        <v>0</v>
      </c>
      <c r="E1042" t="s">
        <v>8</v>
      </c>
      <c r="F1042" t="s">
        <v>13</v>
      </c>
      <c r="G1042">
        <v>20234.854749999999</v>
      </c>
      <c r="H1042" t="str">
        <f t="shared" si="48"/>
        <v>30-39</v>
      </c>
      <c r="I1042" t="str">
        <f t="shared" si="49"/>
        <v>Overweight</v>
      </c>
      <c r="J1042" t="str">
        <f t="shared" si="50"/>
        <v>Yes</v>
      </c>
    </row>
    <row r="1043" spans="1:10" x14ac:dyDescent="0.25">
      <c r="A1043">
        <v>18</v>
      </c>
      <c r="B1043" t="s">
        <v>10</v>
      </c>
      <c r="C1043">
        <v>23.085000000000001</v>
      </c>
      <c r="D1043">
        <v>0</v>
      </c>
      <c r="E1043" t="s">
        <v>11</v>
      </c>
      <c r="F1043" t="s">
        <v>14</v>
      </c>
      <c r="G1043">
        <v>1704.7001499999999</v>
      </c>
      <c r="H1043" t="str">
        <f t="shared" si="48"/>
        <v>18-29</v>
      </c>
      <c r="I1043" t="str">
        <f t="shared" si="49"/>
        <v>Normal</v>
      </c>
      <c r="J1043" t="str">
        <f t="shared" si="50"/>
        <v>No</v>
      </c>
    </row>
    <row r="1044" spans="1:10" x14ac:dyDescent="0.25">
      <c r="A1044">
        <v>20</v>
      </c>
      <c r="B1044" t="s">
        <v>10</v>
      </c>
      <c r="C1044">
        <v>30.684999999999999</v>
      </c>
      <c r="D1044">
        <v>0</v>
      </c>
      <c r="E1044" t="s">
        <v>8</v>
      </c>
      <c r="F1044" t="s">
        <v>14</v>
      </c>
      <c r="G1044">
        <v>33475.817150000003</v>
      </c>
      <c r="H1044" t="str">
        <f t="shared" si="48"/>
        <v>18-29</v>
      </c>
      <c r="I1044" t="str">
        <f t="shared" si="49"/>
        <v>Obese</v>
      </c>
      <c r="J1044" t="str">
        <f t="shared" si="50"/>
        <v>Yes</v>
      </c>
    </row>
    <row r="1045" spans="1:10" x14ac:dyDescent="0.25">
      <c r="A1045">
        <v>28</v>
      </c>
      <c r="B1045" t="s">
        <v>7</v>
      </c>
      <c r="C1045">
        <v>25.8</v>
      </c>
      <c r="D1045">
        <v>0</v>
      </c>
      <c r="E1045" t="s">
        <v>11</v>
      </c>
      <c r="F1045" t="s">
        <v>9</v>
      </c>
      <c r="G1045">
        <v>3161.4540000000002</v>
      </c>
      <c r="H1045" t="str">
        <f t="shared" si="48"/>
        <v>18-29</v>
      </c>
      <c r="I1045" t="str">
        <f t="shared" si="49"/>
        <v>Overweight</v>
      </c>
      <c r="J1045" t="str">
        <f t="shared" si="50"/>
        <v>No</v>
      </c>
    </row>
    <row r="1046" spans="1:10" x14ac:dyDescent="0.25">
      <c r="A1046">
        <v>55</v>
      </c>
      <c r="B1046" t="s">
        <v>10</v>
      </c>
      <c r="C1046">
        <v>35.244999999999997</v>
      </c>
      <c r="D1046">
        <v>1</v>
      </c>
      <c r="E1046" t="s">
        <v>11</v>
      </c>
      <c r="F1046" t="s">
        <v>14</v>
      </c>
      <c r="G1046">
        <v>11394.065549999999</v>
      </c>
      <c r="H1046" t="str">
        <f t="shared" si="48"/>
        <v>50-59</v>
      </c>
      <c r="I1046" t="str">
        <f t="shared" si="49"/>
        <v>Obese</v>
      </c>
      <c r="J1046" t="str">
        <f t="shared" si="50"/>
        <v>No</v>
      </c>
    </row>
    <row r="1047" spans="1:10" x14ac:dyDescent="0.25">
      <c r="A1047">
        <v>43</v>
      </c>
      <c r="B1047" t="s">
        <v>7</v>
      </c>
      <c r="C1047">
        <v>24.7</v>
      </c>
      <c r="D1047">
        <v>2</v>
      </c>
      <c r="E1047" t="s">
        <v>8</v>
      </c>
      <c r="F1047" t="s">
        <v>13</v>
      </c>
      <c r="G1047">
        <v>21880.82</v>
      </c>
      <c r="H1047" t="str">
        <f t="shared" si="48"/>
        <v>40-49</v>
      </c>
      <c r="I1047" t="str">
        <f t="shared" si="49"/>
        <v>Normal</v>
      </c>
      <c r="J1047" t="str">
        <f t="shared" si="50"/>
        <v>Yes</v>
      </c>
    </row>
    <row r="1048" spans="1:10" x14ac:dyDescent="0.25">
      <c r="A1048">
        <v>43</v>
      </c>
      <c r="B1048" t="s">
        <v>7</v>
      </c>
      <c r="C1048">
        <v>25.08</v>
      </c>
      <c r="D1048">
        <v>0</v>
      </c>
      <c r="E1048" t="s">
        <v>11</v>
      </c>
      <c r="F1048" t="s">
        <v>14</v>
      </c>
      <c r="G1048">
        <v>7325.0482000000002</v>
      </c>
      <c r="H1048" t="str">
        <f t="shared" si="48"/>
        <v>40-49</v>
      </c>
      <c r="I1048" t="str">
        <f t="shared" si="49"/>
        <v>Overweight</v>
      </c>
      <c r="J1048" t="str">
        <f t="shared" si="50"/>
        <v>No</v>
      </c>
    </row>
    <row r="1049" spans="1:10" x14ac:dyDescent="0.25">
      <c r="A1049">
        <v>22</v>
      </c>
      <c r="B1049" t="s">
        <v>10</v>
      </c>
      <c r="C1049">
        <v>52.58</v>
      </c>
      <c r="D1049">
        <v>1</v>
      </c>
      <c r="E1049" t="s">
        <v>8</v>
      </c>
      <c r="F1049" t="s">
        <v>12</v>
      </c>
      <c r="G1049">
        <v>44501.398200000003</v>
      </c>
      <c r="H1049" t="str">
        <f t="shared" si="48"/>
        <v>18-29</v>
      </c>
      <c r="I1049" t="str">
        <f t="shared" si="49"/>
        <v>Obese</v>
      </c>
      <c r="J1049" t="str">
        <f t="shared" si="50"/>
        <v>Yes</v>
      </c>
    </row>
    <row r="1050" spans="1:10" x14ac:dyDescent="0.25">
      <c r="A1050">
        <v>25</v>
      </c>
      <c r="B1050" t="s">
        <v>7</v>
      </c>
      <c r="C1050">
        <v>22.515000000000001</v>
      </c>
      <c r="D1050">
        <v>1</v>
      </c>
      <c r="E1050" t="s">
        <v>11</v>
      </c>
      <c r="F1050" t="s">
        <v>13</v>
      </c>
      <c r="G1050">
        <v>3594.17085</v>
      </c>
      <c r="H1050" t="str">
        <f t="shared" si="48"/>
        <v>18-29</v>
      </c>
      <c r="I1050" t="str">
        <f t="shared" si="49"/>
        <v>Normal</v>
      </c>
      <c r="J1050" t="str">
        <f t="shared" si="50"/>
        <v>No</v>
      </c>
    </row>
    <row r="1051" spans="1:10" x14ac:dyDescent="0.25">
      <c r="A1051">
        <v>49</v>
      </c>
      <c r="B1051" t="s">
        <v>10</v>
      </c>
      <c r="C1051">
        <v>30.9</v>
      </c>
      <c r="D1051">
        <v>0</v>
      </c>
      <c r="E1051" t="s">
        <v>8</v>
      </c>
      <c r="F1051" t="s">
        <v>9</v>
      </c>
      <c r="G1051">
        <v>39727.614000000001</v>
      </c>
      <c r="H1051" t="str">
        <f t="shared" si="48"/>
        <v>40-49</v>
      </c>
      <c r="I1051" t="str">
        <f t="shared" si="49"/>
        <v>Obese</v>
      </c>
      <c r="J1051" t="str">
        <f t="shared" si="50"/>
        <v>Yes</v>
      </c>
    </row>
    <row r="1052" spans="1:10" x14ac:dyDescent="0.25">
      <c r="A1052">
        <v>44</v>
      </c>
      <c r="B1052" t="s">
        <v>7</v>
      </c>
      <c r="C1052">
        <v>36.954999999999998</v>
      </c>
      <c r="D1052">
        <v>1</v>
      </c>
      <c r="E1052" t="s">
        <v>11</v>
      </c>
      <c r="F1052" t="s">
        <v>13</v>
      </c>
      <c r="G1052">
        <v>8023.1354499999998</v>
      </c>
      <c r="H1052" t="str">
        <f t="shared" si="48"/>
        <v>40-49</v>
      </c>
      <c r="I1052" t="str">
        <f t="shared" si="49"/>
        <v>Obese</v>
      </c>
      <c r="J1052" t="str">
        <f t="shared" si="50"/>
        <v>No</v>
      </c>
    </row>
    <row r="1053" spans="1:10" x14ac:dyDescent="0.25">
      <c r="A1053">
        <v>64</v>
      </c>
      <c r="B1053" t="s">
        <v>10</v>
      </c>
      <c r="C1053">
        <v>26.41</v>
      </c>
      <c r="D1053">
        <v>0</v>
      </c>
      <c r="E1053" t="s">
        <v>11</v>
      </c>
      <c r="F1053" t="s">
        <v>14</v>
      </c>
      <c r="G1053">
        <v>14394.5579</v>
      </c>
      <c r="H1053" t="str">
        <f t="shared" si="48"/>
        <v>60+</v>
      </c>
      <c r="I1053" t="str">
        <f t="shared" si="49"/>
        <v>Overweight</v>
      </c>
      <c r="J1053" t="str">
        <f t="shared" si="50"/>
        <v>No</v>
      </c>
    </row>
    <row r="1054" spans="1:10" x14ac:dyDescent="0.25">
      <c r="A1054">
        <v>49</v>
      </c>
      <c r="B1054" t="s">
        <v>10</v>
      </c>
      <c r="C1054">
        <v>29.83</v>
      </c>
      <c r="D1054">
        <v>1</v>
      </c>
      <c r="E1054" t="s">
        <v>11</v>
      </c>
      <c r="F1054" t="s">
        <v>14</v>
      </c>
      <c r="G1054">
        <v>9288.0267000000003</v>
      </c>
      <c r="H1054" t="str">
        <f t="shared" si="48"/>
        <v>40-49</v>
      </c>
      <c r="I1054" t="str">
        <f t="shared" si="49"/>
        <v>Overweight</v>
      </c>
      <c r="J1054" t="str">
        <f t="shared" si="50"/>
        <v>No</v>
      </c>
    </row>
    <row r="1055" spans="1:10" x14ac:dyDescent="0.25">
      <c r="A1055">
        <v>47</v>
      </c>
      <c r="B1055" t="s">
        <v>10</v>
      </c>
      <c r="C1055">
        <v>29.8</v>
      </c>
      <c r="D1055">
        <v>3</v>
      </c>
      <c r="E1055" t="s">
        <v>8</v>
      </c>
      <c r="F1055" t="s">
        <v>9</v>
      </c>
      <c r="G1055">
        <v>25309.489000000001</v>
      </c>
      <c r="H1055" t="str">
        <f t="shared" si="48"/>
        <v>40-49</v>
      </c>
      <c r="I1055" t="str">
        <f t="shared" si="49"/>
        <v>Overweight</v>
      </c>
      <c r="J1055" t="str">
        <f t="shared" si="50"/>
        <v>Yes</v>
      </c>
    </row>
    <row r="1056" spans="1:10" x14ac:dyDescent="0.25">
      <c r="A1056">
        <v>27</v>
      </c>
      <c r="B1056" t="s">
        <v>7</v>
      </c>
      <c r="C1056">
        <v>21.47</v>
      </c>
      <c r="D1056">
        <v>0</v>
      </c>
      <c r="E1056" t="s">
        <v>11</v>
      </c>
      <c r="F1056" t="s">
        <v>13</v>
      </c>
      <c r="G1056">
        <v>3353.4703</v>
      </c>
      <c r="H1056" t="str">
        <f t="shared" si="48"/>
        <v>18-29</v>
      </c>
      <c r="I1056" t="str">
        <f t="shared" si="49"/>
        <v>Normal</v>
      </c>
      <c r="J1056" t="str">
        <f t="shared" si="50"/>
        <v>No</v>
      </c>
    </row>
    <row r="1057" spans="1:10" x14ac:dyDescent="0.25">
      <c r="A1057">
        <v>55</v>
      </c>
      <c r="B1057" t="s">
        <v>10</v>
      </c>
      <c r="C1057">
        <v>27.645</v>
      </c>
      <c r="D1057">
        <v>0</v>
      </c>
      <c r="E1057" t="s">
        <v>11</v>
      </c>
      <c r="F1057" t="s">
        <v>13</v>
      </c>
      <c r="G1057">
        <v>10594.501550000001</v>
      </c>
      <c r="H1057" t="str">
        <f t="shared" si="48"/>
        <v>50-59</v>
      </c>
      <c r="I1057" t="str">
        <f t="shared" si="49"/>
        <v>Overweight</v>
      </c>
      <c r="J1057" t="str">
        <f t="shared" si="50"/>
        <v>No</v>
      </c>
    </row>
    <row r="1058" spans="1:10" x14ac:dyDescent="0.25">
      <c r="A1058">
        <v>48</v>
      </c>
      <c r="B1058" t="s">
        <v>7</v>
      </c>
      <c r="C1058">
        <v>28.9</v>
      </c>
      <c r="D1058">
        <v>0</v>
      </c>
      <c r="E1058" t="s">
        <v>11</v>
      </c>
      <c r="F1058" t="s">
        <v>9</v>
      </c>
      <c r="G1058">
        <v>8277.5229999999992</v>
      </c>
      <c r="H1058" t="str">
        <f t="shared" si="48"/>
        <v>40-49</v>
      </c>
      <c r="I1058" t="str">
        <f t="shared" si="49"/>
        <v>Overweight</v>
      </c>
      <c r="J1058" t="str">
        <f t="shared" si="50"/>
        <v>No</v>
      </c>
    </row>
    <row r="1059" spans="1:10" x14ac:dyDescent="0.25">
      <c r="A1059">
        <v>45</v>
      </c>
      <c r="B1059" t="s">
        <v>7</v>
      </c>
      <c r="C1059">
        <v>31.79</v>
      </c>
      <c r="D1059">
        <v>0</v>
      </c>
      <c r="E1059" t="s">
        <v>11</v>
      </c>
      <c r="F1059" t="s">
        <v>12</v>
      </c>
      <c r="G1059">
        <v>17929.303370000001</v>
      </c>
      <c r="H1059" t="str">
        <f t="shared" si="48"/>
        <v>40-49</v>
      </c>
      <c r="I1059" t="str">
        <f t="shared" si="49"/>
        <v>Obese</v>
      </c>
      <c r="J1059" t="str">
        <f t="shared" si="50"/>
        <v>No</v>
      </c>
    </row>
    <row r="1060" spans="1:10" x14ac:dyDescent="0.25">
      <c r="A1060">
        <v>24</v>
      </c>
      <c r="B1060" t="s">
        <v>7</v>
      </c>
      <c r="C1060">
        <v>39.49</v>
      </c>
      <c r="D1060">
        <v>0</v>
      </c>
      <c r="E1060" t="s">
        <v>11</v>
      </c>
      <c r="F1060" t="s">
        <v>12</v>
      </c>
      <c r="G1060">
        <v>2480.9791</v>
      </c>
      <c r="H1060" t="str">
        <f t="shared" si="48"/>
        <v>18-29</v>
      </c>
      <c r="I1060" t="str">
        <f t="shared" si="49"/>
        <v>Obese</v>
      </c>
      <c r="J1060" t="str">
        <f t="shared" si="50"/>
        <v>No</v>
      </c>
    </row>
    <row r="1061" spans="1:10" x14ac:dyDescent="0.25">
      <c r="A1061">
        <v>32</v>
      </c>
      <c r="B1061" t="s">
        <v>10</v>
      </c>
      <c r="C1061">
        <v>33.82</v>
      </c>
      <c r="D1061">
        <v>1</v>
      </c>
      <c r="E1061" t="s">
        <v>11</v>
      </c>
      <c r="F1061" t="s">
        <v>13</v>
      </c>
      <c r="G1061">
        <v>4462.7218000000003</v>
      </c>
      <c r="H1061" t="str">
        <f t="shared" si="48"/>
        <v>30-39</v>
      </c>
      <c r="I1061" t="str">
        <f t="shared" si="49"/>
        <v>Obese</v>
      </c>
      <c r="J1061" t="str">
        <f t="shared" si="50"/>
        <v>No</v>
      </c>
    </row>
    <row r="1062" spans="1:10" x14ac:dyDescent="0.25">
      <c r="A1062">
        <v>24</v>
      </c>
      <c r="B1062" t="s">
        <v>10</v>
      </c>
      <c r="C1062">
        <v>32.01</v>
      </c>
      <c r="D1062">
        <v>0</v>
      </c>
      <c r="E1062" t="s">
        <v>11</v>
      </c>
      <c r="F1062" t="s">
        <v>12</v>
      </c>
      <c r="G1062">
        <v>1981.5818999999999</v>
      </c>
      <c r="H1062" t="str">
        <f t="shared" si="48"/>
        <v>18-29</v>
      </c>
      <c r="I1062" t="str">
        <f t="shared" si="49"/>
        <v>Obese</v>
      </c>
      <c r="J1062" t="str">
        <f t="shared" si="50"/>
        <v>No</v>
      </c>
    </row>
    <row r="1063" spans="1:10" x14ac:dyDescent="0.25">
      <c r="A1063">
        <v>57</v>
      </c>
      <c r="B1063" t="s">
        <v>10</v>
      </c>
      <c r="C1063">
        <v>27.94</v>
      </c>
      <c r="D1063">
        <v>1</v>
      </c>
      <c r="E1063" t="s">
        <v>11</v>
      </c>
      <c r="F1063" t="s">
        <v>12</v>
      </c>
      <c r="G1063">
        <v>11554.223599999999</v>
      </c>
      <c r="H1063" t="str">
        <f t="shared" si="48"/>
        <v>50-59</v>
      </c>
      <c r="I1063" t="str">
        <f t="shared" si="49"/>
        <v>Overweight</v>
      </c>
      <c r="J1063" t="str">
        <f t="shared" si="50"/>
        <v>No</v>
      </c>
    </row>
    <row r="1064" spans="1:10" x14ac:dyDescent="0.25">
      <c r="A1064">
        <v>59</v>
      </c>
      <c r="B1064" t="s">
        <v>10</v>
      </c>
      <c r="C1064">
        <v>41.14</v>
      </c>
      <c r="D1064">
        <v>1</v>
      </c>
      <c r="E1064" t="s">
        <v>8</v>
      </c>
      <c r="F1064" t="s">
        <v>12</v>
      </c>
      <c r="G1064">
        <v>48970.247600000002</v>
      </c>
      <c r="H1064" t="str">
        <f t="shared" si="48"/>
        <v>50-59</v>
      </c>
      <c r="I1064" t="str">
        <f t="shared" si="49"/>
        <v>Obese</v>
      </c>
      <c r="J1064" t="str">
        <f t="shared" si="50"/>
        <v>Yes</v>
      </c>
    </row>
    <row r="1065" spans="1:10" x14ac:dyDescent="0.25">
      <c r="A1065">
        <v>36</v>
      </c>
      <c r="B1065" t="s">
        <v>10</v>
      </c>
      <c r="C1065">
        <v>28.594999999999999</v>
      </c>
      <c r="D1065">
        <v>3</v>
      </c>
      <c r="E1065" t="s">
        <v>11</v>
      </c>
      <c r="F1065" t="s">
        <v>13</v>
      </c>
      <c r="G1065">
        <v>6548.1950500000003</v>
      </c>
      <c r="H1065" t="str">
        <f t="shared" si="48"/>
        <v>30-39</v>
      </c>
      <c r="I1065" t="str">
        <f t="shared" si="49"/>
        <v>Overweight</v>
      </c>
      <c r="J1065" t="str">
        <f t="shared" si="50"/>
        <v>No</v>
      </c>
    </row>
    <row r="1066" spans="1:10" x14ac:dyDescent="0.25">
      <c r="A1066">
        <v>29</v>
      </c>
      <c r="B1066" t="s">
        <v>7</v>
      </c>
      <c r="C1066">
        <v>25.6</v>
      </c>
      <c r="D1066">
        <v>4</v>
      </c>
      <c r="E1066" t="s">
        <v>11</v>
      </c>
      <c r="F1066" t="s">
        <v>9</v>
      </c>
      <c r="G1066">
        <v>5708.8670000000002</v>
      </c>
      <c r="H1066" t="str">
        <f t="shared" si="48"/>
        <v>18-29</v>
      </c>
      <c r="I1066" t="str">
        <f t="shared" si="49"/>
        <v>Overweight</v>
      </c>
      <c r="J1066" t="str">
        <f t="shared" si="50"/>
        <v>No</v>
      </c>
    </row>
    <row r="1067" spans="1:10" x14ac:dyDescent="0.25">
      <c r="A1067">
        <v>42</v>
      </c>
      <c r="B1067" t="s">
        <v>7</v>
      </c>
      <c r="C1067">
        <v>25.3</v>
      </c>
      <c r="D1067">
        <v>1</v>
      </c>
      <c r="E1067" t="s">
        <v>11</v>
      </c>
      <c r="F1067" t="s">
        <v>9</v>
      </c>
      <c r="G1067">
        <v>7045.4989999999998</v>
      </c>
      <c r="H1067" t="str">
        <f t="shared" si="48"/>
        <v>40-49</v>
      </c>
      <c r="I1067" t="str">
        <f t="shared" si="49"/>
        <v>Overweight</v>
      </c>
      <c r="J1067" t="str">
        <f t="shared" si="50"/>
        <v>No</v>
      </c>
    </row>
    <row r="1068" spans="1:10" x14ac:dyDescent="0.25">
      <c r="A1068">
        <v>48</v>
      </c>
      <c r="B1068" t="s">
        <v>10</v>
      </c>
      <c r="C1068">
        <v>37.29</v>
      </c>
      <c r="D1068">
        <v>2</v>
      </c>
      <c r="E1068" t="s">
        <v>11</v>
      </c>
      <c r="F1068" t="s">
        <v>12</v>
      </c>
      <c r="G1068">
        <v>8978.1851000000006</v>
      </c>
      <c r="H1068" t="str">
        <f t="shared" si="48"/>
        <v>40-49</v>
      </c>
      <c r="I1068" t="str">
        <f t="shared" si="49"/>
        <v>Obese</v>
      </c>
      <c r="J1068" t="str">
        <f t="shared" si="50"/>
        <v>No</v>
      </c>
    </row>
    <row r="1069" spans="1:10" x14ac:dyDescent="0.25">
      <c r="A1069">
        <v>39</v>
      </c>
      <c r="B1069" t="s">
        <v>10</v>
      </c>
      <c r="C1069">
        <v>42.655000000000001</v>
      </c>
      <c r="D1069">
        <v>0</v>
      </c>
      <c r="E1069" t="s">
        <v>11</v>
      </c>
      <c r="F1069" t="s">
        <v>14</v>
      </c>
      <c r="G1069">
        <v>5757.41345</v>
      </c>
      <c r="H1069" t="str">
        <f t="shared" si="48"/>
        <v>30-39</v>
      </c>
      <c r="I1069" t="str">
        <f t="shared" si="49"/>
        <v>Obese</v>
      </c>
      <c r="J1069" t="str">
        <f t="shared" si="50"/>
        <v>No</v>
      </c>
    </row>
    <row r="1070" spans="1:10" x14ac:dyDescent="0.25">
      <c r="A1070">
        <v>63</v>
      </c>
      <c r="B1070" t="s">
        <v>10</v>
      </c>
      <c r="C1070">
        <v>21.66</v>
      </c>
      <c r="D1070">
        <v>1</v>
      </c>
      <c r="E1070" t="s">
        <v>11</v>
      </c>
      <c r="F1070" t="s">
        <v>13</v>
      </c>
      <c r="G1070">
        <v>14349.8544</v>
      </c>
      <c r="H1070" t="str">
        <f t="shared" si="48"/>
        <v>60+</v>
      </c>
      <c r="I1070" t="str">
        <f t="shared" si="49"/>
        <v>Normal</v>
      </c>
      <c r="J1070" t="str">
        <f t="shared" si="50"/>
        <v>No</v>
      </c>
    </row>
    <row r="1071" spans="1:10" x14ac:dyDescent="0.25">
      <c r="A1071">
        <v>54</v>
      </c>
      <c r="B1071" t="s">
        <v>7</v>
      </c>
      <c r="C1071">
        <v>31.9</v>
      </c>
      <c r="D1071">
        <v>1</v>
      </c>
      <c r="E1071" t="s">
        <v>11</v>
      </c>
      <c r="F1071" t="s">
        <v>12</v>
      </c>
      <c r="G1071">
        <v>10928.849</v>
      </c>
      <c r="H1071" t="str">
        <f t="shared" si="48"/>
        <v>50-59</v>
      </c>
      <c r="I1071" t="str">
        <f t="shared" si="49"/>
        <v>Obese</v>
      </c>
      <c r="J1071" t="str">
        <f t="shared" si="50"/>
        <v>No</v>
      </c>
    </row>
    <row r="1072" spans="1:10" x14ac:dyDescent="0.25">
      <c r="A1072">
        <v>37</v>
      </c>
      <c r="B1072" t="s">
        <v>10</v>
      </c>
      <c r="C1072">
        <v>37.07</v>
      </c>
      <c r="D1072">
        <v>1</v>
      </c>
      <c r="E1072" t="s">
        <v>8</v>
      </c>
      <c r="F1072" t="s">
        <v>12</v>
      </c>
      <c r="G1072">
        <v>39871.704299999998</v>
      </c>
      <c r="H1072" t="str">
        <f t="shared" si="48"/>
        <v>30-39</v>
      </c>
      <c r="I1072" t="str">
        <f t="shared" si="49"/>
        <v>Obese</v>
      </c>
      <c r="J1072" t="str">
        <f t="shared" si="50"/>
        <v>Yes</v>
      </c>
    </row>
    <row r="1073" spans="1:10" x14ac:dyDescent="0.25">
      <c r="A1073">
        <v>63</v>
      </c>
      <c r="B1073" t="s">
        <v>10</v>
      </c>
      <c r="C1073">
        <v>31.445</v>
      </c>
      <c r="D1073">
        <v>0</v>
      </c>
      <c r="E1073" t="s">
        <v>11</v>
      </c>
      <c r="F1073" t="s">
        <v>14</v>
      </c>
      <c r="G1073">
        <v>13974.455550000001</v>
      </c>
      <c r="H1073" t="str">
        <f t="shared" si="48"/>
        <v>60+</v>
      </c>
      <c r="I1073" t="str">
        <f t="shared" si="49"/>
        <v>Obese</v>
      </c>
      <c r="J1073" t="str">
        <f t="shared" si="50"/>
        <v>No</v>
      </c>
    </row>
    <row r="1074" spans="1:10" x14ac:dyDescent="0.25">
      <c r="A1074">
        <v>21</v>
      </c>
      <c r="B1074" t="s">
        <v>10</v>
      </c>
      <c r="C1074">
        <v>31.254999999999999</v>
      </c>
      <c r="D1074">
        <v>0</v>
      </c>
      <c r="E1074" t="s">
        <v>11</v>
      </c>
      <c r="F1074" t="s">
        <v>13</v>
      </c>
      <c r="G1074">
        <v>1909.52745</v>
      </c>
      <c r="H1074" t="str">
        <f t="shared" si="48"/>
        <v>18-29</v>
      </c>
      <c r="I1074" t="str">
        <f t="shared" si="49"/>
        <v>Obese</v>
      </c>
      <c r="J1074" t="str">
        <f t="shared" si="50"/>
        <v>No</v>
      </c>
    </row>
    <row r="1075" spans="1:10" x14ac:dyDescent="0.25">
      <c r="A1075">
        <v>54</v>
      </c>
      <c r="B1075" t="s">
        <v>7</v>
      </c>
      <c r="C1075">
        <v>28.88</v>
      </c>
      <c r="D1075">
        <v>2</v>
      </c>
      <c r="E1075" t="s">
        <v>11</v>
      </c>
      <c r="F1075" t="s">
        <v>14</v>
      </c>
      <c r="G1075">
        <v>12096.6512</v>
      </c>
      <c r="H1075" t="str">
        <f t="shared" si="48"/>
        <v>50-59</v>
      </c>
      <c r="I1075" t="str">
        <f t="shared" si="49"/>
        <v>Overweight</v>
      </c>
      <c r="J1075" t="str">
        <f t="shared" si="50"/>
        <v>No</v>
      </c>
    </row>
    <row r="1076" spans="1:10" x14ac:dyDescent="0.25">
      <c r="A1076">
        <v>60</v>
      </c>
      <c r="B1076" t="s">
        <v>7</v>
      </c>
      <c r="C1076">
        <v>18.335000000000001</v>
      </c>
      <c r="D1076">
        <v>0</v>
      </c>
      <c r="E1076" t="s">
        <v>11</v>
      </c>
      <c r="F1076" t="s">
        <v>14</v>
      </c>
      <c r="G1076">
        <v>13204.28565</v>
      </c>
      <c r="H1076" t="str">
        <f t="shared" si="48"/>
        <v>60+</v>
      </c>
      <c r="I1076" t="str">
        <f t="shared" si="49"/>
        <v>Underweight</v>
      </c>
      <c r="J1076" t="str">
        <f t="shared" si="50"/>
        <v>No</v>
      </c>
    </row>
    <row r="1077" spans="1:10" x14ac:dyDescent="0.25">
      <c r="A1077">
        <v>32</v>
      </c>
      <c r="B1077" t="s">
        <v>7</v>
      </c>
      <c r="C1077">
        <v>29.59</v>
      </c>
      <c r="D1077">
        <v>1</v>
      </c>
      <c r="E1077" t="s">
        <v>11</v>
      </c>
      <c r="F1077" t="s">
        <v>12</v>
      </c>
      <c r="G1077">
        <v>4562.8420999999998</v>
      </c>
      <c r="H1077" t="str">
        <f t="shared" si="48"/>
        <v>30-39</v>
      </c>
      <c r="I1077" t="str">
        <f t="shared" si="49"/>
        <v>Overweight</v>
      </c>
      <c r="J1077" t="str">
        <f t="shared" si="50"/>
        <v>No</v>
      </c>
    </row>
    <row r="1078" spans="1:10" x14ac:dyDescent="0.25">
      <c r="A1078">
        <v>47</v>
      </c>
      <c r="B1078" t="s">
        <v>7</v>
      </c>
      <c r="C1078">
        <v>32</v>
      </c>
      <c r="D1078">
        <v>1</v>
      </c>
      <c r="E1078" t="s">
        <v>11</v>
      </c>
      <c r="F1078" t="s">
        <v>9</v>
      </c>
      <c r="G1078">
        <v>8551.3469999999998</v>
      </c>
      <c r="H1078" t="str">
        <f t="shared" si="48"/>
        <v>40-49</v>
      </c>
      <c r="I1078" t="str">
        <f t="shared" si="49"/>
        <v>Obese</v>
      </c>
      <c r="J1078" t="str">
        <f t="shared" si="50"/>
        <v>No</v>
      </c>
    </row>
    <row r="1079" spans="1:10" x14ac:dyDescent="0.25">
      <c r="A1079">
        <v>21</v>
      </c>
      <c r="B1079" t="s">
        <v>10</v>
      </c>
      <c r="C1079">
        <v>26.03</v>
      </c>
      <c r="D1079">
        <v>0</v>
      </c>
      <c r="E1079" t="s">
        <v>11</v>
      </c>
      <c r="F1079" t="s">
        <v>14</v>
      </c>
      <c r="G1079">
        <v>2102.2647000000002</v>
      </c>
      <c r="H1079" t="str">
        <f t="shared" si="48"/>
        <v>18-29</v>
      </c>
      <c r="I1079" t="str">
        <f t="shared" si="49"/>
        <v>Overweight</v>
      </c>
      <c r="J1079" t="str">
        <f t="shared" si="50"/>
        <v>No</v>
      </c>
    </row>
    <row r="1080" spans="1:10" x14ac:dyDescent="0.25">
      <c r="A1080">
        <v>28</v>
      </c>
      <c r="B1080" t="s">
        <v>10</v>
      </c>
      <c r="C1080">
        <v>31.68</v>
      </c>
      <c r="D1080">
        <v>0</v>
      </c>
      <c r="E1080" t="s">
        <v>8</v>
      </c>
      <c r="F1080" t="s">
        <v>12</v>
      </c>
      <c r="G1080">
        <v>34672.147199999999</v>
      </c>
      <c r="H1080" t="str">
        <f t="shared" si="48"/>
        <v>18-29</v>
      </c>
      <c r="I1080" t="str">
        <f t="shared" si="49"/>
        <v>Obese</v>
      </c>
      <c r="J1080" t="str">
        <f t="shared" si="50"/>
        <v>Yes</v>
      </c>
    </row>
    <row r="1081" spans="1:10" x14ac:dyDescent="0.25">
      <c r="A1081">
        <v>63</v>
      </c>
      <c r="B1081" t="s">
        <v>10</v>
      </c>
      <c r="C1081">
        <v>33.659999999999997</v>
      </c>
      <c r="D1081">
        <v>3</v>
      </c>
      <c r="E1081" t="s">
        <v>11</v>
      </c>
      <c r="F1081" t="s">
        <v>12</v>
      </c>
      <c r="G1081">
        <v>15161.5344</v>
      </c>
      <c r="H1081" t="str">
        <f t="shared" si="48"/>
        <v>60+</v>
      </c>
      <c r="I1081" t="str">
        <f t="shared" si="49"/>
        <v>Obese</v>
      </c>
      <c r="J1081" t="str">
        <f t="shared" si="50"/>
        <v>No</v>
      </c>
    </row>
    <row r="1082" spans="1:10" x14ac:dyDescent="0.25">
      <c r="A1082">
        <v>18</v>
      </c>
      <c r="B1082" t="s">
        <v>10</v>
      </c>
      <c r="C1082">
        <v>21.78</v>
      </c>
      <c r="D1082">
        <v>2</v>
      </c>
      <c r="E1082" t="s">
        <v>11</v>
      </c>
      <c r="F1082" t="s">
        <v>12</v>
      </c>
      <c r="G1082">
        <v>11884.048580000001</v>
      </c>
      <c r="H1082" t="str">
        <f t="shared" si="48"/>
        <v>18-29</v>
      </c>
      <c r="I1082" t="str">
        <f t="shared" si="49"/>
        <v>Normal</v>
      </c>
      <c r="J1082" t="str">
        <f t="shared" si="50"/>
        <v>No</v>
      </c>
    </row>
    <row r="1083" spans="1:10" x14ac:dyDescent="0.25">
      <c r="A1083">
        <v>32</v>
      </c>
      <c r="B1083" t="s">
        <v>10</v>
      </c>
      <c r="C1083">
        <v>27.835000000000001</v>
      </c>
      <c r="D1083">
        <v>1</v>
      </c>
      <c r="E1083" t="s">
        <v>11</v>
      </c>
      <c r="F1083" t="s">
        <v>13</v>
      </c>
      <c r="G1083">
        <v>4454.40265</v>
      </c>
      <c r="H1083" t="str">
        <f t="shared" si="48"/>
        <v>30-39</v>
      </c>
      <c r="I1083" t="str">
        <f t="shared" si="49"/>
        <v>Overweight</v>
      </c>
      <c r="J1083" t="str">
        <f t="shared" si="50"/>
        <v>No</v>
      </c>
    </row>
    <row r="1084" spans="1:10" x14ac:dyDescent="0.25">
      <c r="A1084">
        <v>38</v>
      </c>
      <c r="B1084" t="s">
        <v>10</v>
      </c>
      <c r="C1084">
        <v>19.95</v>
      </c>
      <c r="D1084">
        <v>1</v>
      </c>
      <c r="E1084" t="s">
        <v>11</v>
      </c>
      <c r="F1084" t="s">
        <v>13</v>
      </c>
      <c r="G1084">
        <v>5855.9025000000001</v>
      </c>
      <c r="H1084" t="str">
        <f t="shared" si="48"/>
        <v>30-39</v>
      </c>
      <c r="I1084" t="str">
        <f t="shared" si="49"/>
        <v>Normal</v>
      </c>
      <c r="J1084" t="str">
        <f t="shared" si="50"/>
        <v>No</v>
      </c>
    </row>
    <row r="1085" spans="1:10" x14ac:dyDescent="0.25">
      <c r="A1085">
        <v>32</v>
      </c>
      <c r="B1085" t="s">
        <v>10</v>
      </c>
      <c r="C1085">
        <v>31.5</v>
      </c>
      <c r="D1085">
        <v>1</v>
      </c>
      <c r="E1085" t="s">
        <v>11</v>
      </c>
      <c r="F1085" t="s">
        <v>9</v>
      </c>
      <c r="G1085">
        <v>4076.4969999999998</v>
      </c>
      <c r="H1085" t="str">
        <f t="shared" si="48"/>
        <v>30-39</v>
      </c>
      <c r="I1085" t="str">
        <f t="shared" si="49"/>
        <v>Obese</v>
      </c>
      <c r="J1085" t="str">
        <f t="shared" si="50"/>
        <v>No</v>
      </c>
    </row>
    <row r="1086" spans="1:10" x14ac:dyDescent="0.25">
      <c r="A1086">
        <v>62</v>
      </c>
      <c r="B1086" t="s">
        <v>7</v>
      </c>
      <c r="C1086">
        <v>30.495000000000001</v>
      </c>
      <c r="D1086">
        <v>2</v>
      </c>
      <c r="E1086" t="s">
        <v>11</v>
      </c>
      <c r="F1086" t="s">
        <v>13</v>
      </c>
      <c r="G1086">
        <v>15019.760050000001</v>
      </c>
      <c r="H1086" t="str">
        <f t="shared" si="48"/>
        <v>60+</v>
      </c>
      <c r="I1086" t="str">
        <f t="shared" si="49"/>
        <v>Obese</v>
      </c>
      <c r="J1086" t="str">
        <f t="shared" si="50"/>
        <v>No</v>
      </c>
    </row>
    <row r="1087" spans="1:10" x14ac:dyDescent="0.25">
      <c r="A1087">
        <v>39</v>
      </c>
      <c r="B1087" t="s">
        <v>7</v>
      </c>
      <c r="C1087">
        <v>18.3</v>
      </c>
      <c r="D1087">
        <v>5</v>
      </c>
      <c r="E1087" t="s">
        <v>8</v>
      </c>
      <c r="F1087" t="s">
        <v>9</v>
      </c>
      <c r="G1087">
        <v>19023.259999999998</v>
      </c>
      <c r="H1087" t="str">
        <f t="shared" si="48"/>
        <v>30-39</v>
      </c>
      <c r="I1087" t="str">
        <f t="shared" si="49"/>
        <v>Underweight</v>
      </c>
      <c r="J1087" t="str">
        <f t="shared" si="50"/>
        <v>No</v>
      </c>
    </row>
    <row r="1088" spans="1:10" x14ac:dyDescent="0.25">
      <c r="A1088">
        <v>55</v>
      </c>
      <c r="B1088" t="s">
        <v>10</v>
      </c>
      <c r="C1088">
        <v>28.975000000000001</v>
      </c>
      <c r="D1088">
        <v>0</v>
      </c>
      <c r="E1088" t="s">
        <v>11</v>
      </c>
      <c r="F1088" t="s">
        <v>14</v>
      </c>
      <c r="G1088">
        <v>10796.35025</v>
      </c>
      <c r="H1088" t="str">
        <f t="shared" si="48"/>
        <v>50-59</v>
      </c>
      <c r="I1088" t="str">
        <f t="shared" si="49"/>
        <v>Overweight</v>
      </c>
      <c r="J1088" t="str">
        <f t="shared" si="50"/>
        <v>No</v>
      </c>
    </row>
    <row r="1089" spans="1:10" x14ac:dyDescent="0.25">
      <c r="A1089">
        <v>57</v>
      </c>
      <c r="B1089" t="s">
        <v>10</v>
      </c>
      <c r="C1089">
        <v>31.54</v>
      </c>
      <c r="D1089">
        <v>0</v>
      </c>
      <c r="E1089" t="s">
        <v>11</v>
      </c>
      <c r="F1089" t="s">
        <v>13</v>
      </c>
      <c r="G1089">
        <v>11353.2276</v>
      </c>
      <c r="H1089" t="str">
        <f t="shared" si="48"/>
        <v>50-59</v>
      </c>
      <c r="I1089" t="str">
        <f t="shared" si="49"/>
        <v>Obese</v>
      </c>
      <c r="J1089" t="str">
        <f t="shared" si="50"/>
        <v>No</v>
      </c>
    </row>
    <row r="1090" spans="1:10" x14ac:dyDescent="0.25">
      <c r="A1090">
        <v>52</v>
      </c>
      <c r="B1090" t="s">
        <v>10</v>
      </c>
      <c r="C1090">
        <v>47.74</v>
      </c>
      <c r="D1090">
        <v>1</v>
      </c>
      <c r="E1090" t="s">
        <v>11</v>
      </c>
      <c r="F1090" t="s">
        <v>12</v>
      </c>
      <c r="G1090">
        <v>9748.9105999999992</v>
      </c>
      <c r="H1090" t="str">
        <f t="shared" ref="H1090:H1153" si="51">IF(A1090&lt;30, "18-29", IF(A1090&lt;40, "30-39", IF(A1090&lt;50, "40-49", IF(A1090&lt;60, "50-59", "60+"))))</f>
        <v>50-59</v>
      </c>
      <c r="I1090" t="str">
        <f t="shared" ref="I1090:I1153" si="52">IF(C1090&lt;18.5, "Underweight", IF(C1090&lt;25, "Normal", IF(C1090&lt;30,"Overweight","Obese")))</f>
        <v>Obese</v>
      </c>
      <c r="J1090" t="str">
        <f t="shared" ref="J1090:J1153" si="53">IF(G1090&gt;20000,"Yes","No")</f>
        <v>No</v>
      </c>
    </row>
    <row r="1091" spans="1:10" x14ac:dyDescent="0.25">
      <c r="A1091">
        <v>56</v>
      </c>
      <c r="B1091" t="s">
        <v>10</v>
      </c>
      <c r="C1091">
        <v>22.1</v>
      </c>
      <c r="D1091">
        <v>0</v>
      </c>
      <c r="E1091" t="s">
        <v>11</v>
      </c>
      <c r="F1091" t="s">
        <v>9</v>
      </c>
      <c r="G1091">
        <v>10577.087</v>
      </c>
      <c r="H1091" t="str">
        <f t="shared" si="51"/>
        <v>50-59</v>
      </c>
      <c r="I1091" t="str">
        <f t="shared" si="52"/>
        <v>Normal</v>
      </c>
      <c r="J1091" t="str">
        <f t="shared" si="53"/>
        <v>No</v>
      </c>
    </row>
    <row r="1092" spans="1:10" x14ac:dyDescent="0.25">
      <c r="A1092">
        <v>47</v>
      </c>
      <c r="B1092" t="s">
        <v>10</v>
      </c>
      <c r="C1092">
        <v>36.19</v>
      </c>
      <c r="D1092">
        <v>0</v>
      </c>
      <c r="E1092" t="s">
        <v>8</v>
      </c>
      <c r="F1092" t="s">
        <v>12</v>
      </c>
      <c r="G1092">
        <v>41676.081100000003</v>
      </c>
      <c r="H1092" t="str">
        <f t="shared" si="51"/>
        <v>40-49</v>
      </c>
      <c r="I1092" t="str">
        <f t="shared" si="52"/>
        <v>Obese</v>
      </c>
      <c r="J1092" t="str">
        <f t="shared" si="53"/>
        <v>Yes</v>
      </c>
    </row>
    <row r="1093" spans="1:10" x14ac:dyDescent="0.25">
      <c r="A1093">
        <v>55</v>
      </c>
      <c r="B1093" t="s">
        <v>7</v>
      </c>
      <c r="C1093">
        <v>29.83</v>
      </c>
      <c r="D1093">
        <v>0</v>
      </c>
      <c r="E1093" t="s">
        <v>11</v>
      </c>
      <c r="F1093" t="s">
        <v>14</v>
      </c>
      <c r="G1093">
        <v>11286.538699999999</v>
      </c>
      <c r="H1093" t="str">
        <f t="shared" si="51"/>
        <v>50-59</v>
      </c>
      <c r="I1093" t="str">
        <f t="shared" si="52"/>
        <v>Overweight</v>
      </c>
      <c r="J1093" t="str">
        <f t="shared" si="53"/>
        <v>No</v>
      </c>
    </row>
    <row r="1094" spans="1:10" x14ac:dyDescent="0.25">
      <c r="A1094">
        <v>23</v>
      </c>
      <c r="B1094" t="s">
        <v>10</v>
      </c>
      <c r="C1094">
        <v>32.700000000000003</v>
      </c>
      <c r="D1094">
        <v>3</v>
      </c>
      <c r="E1094" t="s">
        <v>11</v>
      </c>
      <c r="F1094" t="s">
        <v>9</v>
      </c>
      <c r="G1094">
        <v>3591.48</v>
      </c>
      <c r="H1094" t="str">
        <f t="shared" si="51"/>
        <v>18-29</v>
      </c>
      <c r="I1094" t="str">
        <f t="shared" si="52"/>
        <v>Obese</v>
      </c>
      <c r="J1094" t="str">
        <f t="shared" si="53"/>
        <v>No</v>
      </c>
    </row>
    <row r="1095" spans="1:10" x14ac:dyDescent="0.25">
      <c r="A1095">
        <v>22</v>
      </c>
      <c r="B1095" t="s">
        <v>7</v>
      </c>
      <c r="C1095">
        <v>30.4</v>
      </c>
      <c r="D1095">
        <v>0</v>
      </c>
      <c r="E1095" t="s">
        <v>8</v>
      </c>
      <c r="F1095" t="s">
        <v>13</v>
      </c>
      <c r="G1095">
        <v>33907.548000000003</v>
      </c>
      <c r="H1095" t="str">
        <f t="shared" si="51"/>
        <v>18-29</v>
      </c>
      <c r="I1095" t="str">
        <f t="shared" si="52"/>
        <v>Obese</v>
      </c>
      <c r="J1095" t="str">
        <f t="shared" si="53"/>
        <v>Yes</v>
      </c>
    </row>
    <row r="1096" spans="1:10" x14ac:dyDescent="0.25">
      <c r="A1096">
        <v>50</v>
      </c>
      <c r="B1096" t="s">
        <v>7</v>
      </c>
      <c r="C1096">
        <v>33.700000000000003</v>
      </c>
      <c r="D1096">
        <v>4</v>
      </c>
      <c r="E1096" t="s">
        <v>11</v>
      </c>
      <c r="F1096" t="s">
        <v>9</v>
      </c>
      <c r="G1096">
        <v>11299.343000000001</v>
      </c>
      <c r="H1096" t="str">
        <f t="shared" si="51"/>
        <v>50-59</v>
      </c>
      <c r="I1096" t="str">
        <f t="shared" si="52"/>
        <v>Obese</v>
      </c>
      <c r="J1096" t="str">
        <f t="shared" si="53"/>
        <v>No</v>
      </c>
    </row>
    <row r="1097" spans="1:10" x14ac:dyDescent="0.25">
      <c r="A1097">
        <v>18</v>
      </c>
      <c r="B1097" t="s">
        <v>7</v>
      </c>
      <c r="C1097">
        <v>31.35</v>
      </c>
      <c r="D1097">
        <v>4</v>
      </c>
      <c r="E1097" t="s">
        <v>11</v>
      </c>
      <c r="F1097" t="s">
        <v>14</v>
      </c>
      <c r="G1097">
        <v>4561.1885000000002</v>
      </c>
      <c r="H1097" t="str">
        <f t="shared" si="51"/>
        <v>18-29</v>
      </c>
      <c r="I1097" t="str">
        <f t="shared" si="52"/>
        <v>Obese</v>
      </c>
      <c r="J1097" t="str">
        <f t="shared" si="53"/>
        <v>No</v>
      </c>
    </row>
    <row r="1098" spans="1:10" x14ac:dyDescent="0.25">
      <c r="A1098">
        <v>51</v>
      </c>
      <c r="B1098" t="s">
        <v>7</v>
      </c>
      <c r="C1098">
        <v>34.96</v>
      </c>
      <c r="D1098">
        <v>2</v>
      </c>
      <c r="E1098" t="s">
        <v>8</v>
      </c>
      <c r="F1098" t="s">
        <v>14</v>
      </c>
      <c r="G1098">
        <v>44641.197399999997</v>
      </c>
      <c r="H1098" t="str">
        <f t="shared" si="51"/>
        <v>50-59</v>
      </c>
      <c r="I1098" t="str">
        <f t="shared" si="52"/>
        <v>Obese</v>
      </c>
      <c r="J1098" t="str">
        <f t="shared" si="53"/>
        <v>Yes</v>
      </c>
    </row>
    <row r="1099" spans="1:10" x14ac:dyDescent="0.25">
      <c r="A1099">
        <v>22</v>
      </c>
      <c r="B1099" t="s">
        <v>10</v>
      </c>
      <c r="C1099">
        <v>33.770000000000003</v>
      </c>
      <c r="D1099">
        <v>0</v>
      </c>
      <c r="E1099" t="s">
        <v>11</v>
      </c>
      <c r="F1099" t="s">
        <v>12</v>
      </c>
      <c r="G1099">
        <v>1674.6323</v>
      </c>
      <c r="H1099" t="str">
        <f t="shared" si="51"/>
        <v>18-29</v>
      </c>
      <c r="I1099" t="str">
        <f t="shared" si="52"/>
        <v>Obese</v>
      </c>
      <c r="J1099" t="str">
        <f t="shared" si="53"/>
        <v>No</v>
      </c>
    </row>
    <row r="1100" spans="1:10" x14ac:dyDescent="0.25">
      <c r="A1100">
        <v>52</v>
      </c>
      <c r="B1100" t="s">
        <v>7</v>
      </c>
      <c r="C1100">
        <v>30.875</v>
      </c>
      <c r="D1100">
        <v>0</v>
      </c>
      <c r="E1100" t="s">
        <v>11</v>
      </c>
      <c r="F1100" t="s">
        <v>14</v>
      </c>
      <c r="G1100">
        <v>23045.566159999998</v>
      </c>
      <c r="H1100" t="str">
        <f t="shared" si="51"/>
        <v>50-59</v>
      </c>
      <c r="I1100" t="str">
        <f t="shared" si="52"/>
        <v>Obese</v>
      </c>
      <c r="J1100" t="str">
        <f t="shared" si="53"/>
        <v>Yes</v>
      </c>
    </row>
    <row r="1101" spans="1:10" x14ac:dyDescent="0.25">
      <c r="A1101">
        <v>25</v>
      </c>
      <c r="B1101" t="s">
        <v>7</v>
      </c>
      <c r="C1101">
        <v>33.99</v>
      </c>
      <c r="D1101">
        <v>1</v>
      </c>
      <c r="E1101" t="s">
        <v>11</v>
      </c>
      <c r="F1101" t="s">
        <v>12</v>
      </c>
      <c r="G1101">
        <v>3227.1210999999998</v>
      </c>
      <c r="H1101" t="str">
        <f t="shared" si="51"/>
        <v>18-29</v>
      </c>
      <c r="I1101" t="str">
        <f t="shared" si="52"/>
        <v>Obese</v>
      </c>
      <c r="J1101" t="str">
        <f t="shared" si="53"/>
        <v>No</v>
      </c>
    </row>
    <row r="1102" spans="1:10" x14ac:dyDescent="0.25">
      <c r="A1102">
        <v>33</v>
      </c>
      <c r="B1102" t="s">
        <v>7</v>
      </c>
      <c r="C1102">
        <v>19.094999999999999</v>
      </c>
      <c r="D1102">
        <v>2</v>
      </c>
      <c r="E1102" t="s">
        <v>8</v>
      </c>
      <c r="F1102" t="s">
        <v>14</v>
      </c>
      <c r="G1102">
        <v>16776.304049999999</v>
      </c>
      <c r="H1102" t="str">
        <f t="shared" si="51"/>
        <v>30-39</v>
      </c>
      <c r="I1102" t="str">
        <f t="shared" si="52"/>
        <v>Normal</v>
      </c>
      <c r="J1102" t="str">
        <f t="shared" si="53"/>
        <v>No</v>
      </c>
    </row>
    <row r="1103" spans="1:10" x14ac:dyDescent="0.25">
      <c r="A1103">
        <v>53</v>
      </c>
      <c r="B1103" t="s">
        <v>10</v>
      </c>
      <c r="C1103">
        <v>28.6</v>
      </c>
      <c r="D1103">
        <v>3</v>
      </c>
      <c r="E1103" t="s">
        <v>11</v>
      </c>
      <c r="F1103" t="s">
        <v>9</v>
      </c>
      <c r="G1103">
        <v>11253.421</v>
      </c>
      <c r="H1103" t="str">
        <f t="shared" si="51"/>
        <v>50-59</v>
      </c>
      <c r="I1103" t="str">
        <f t="shared" si="52"/>
        <v>Overweight</v>
      </c>
      <c r="J1103" t="str">
        <f t="shared" si="53"/>
        <v>No</v>
      </c>
    </row>
    <row r="1104" spans="1:10" x14ac:dyDescent="0.25">
      <c r="A1104">
        <v>29</v>
      </c>
      <c r="B1104" t="s">
        <v>10</v>
      </c>
      <c r="C1104">
        <v>38.94</v>
      </c>
      <c r="D1104">
        <v>1</v>
      </c>
      <c r="E1104" t="s">
        <v>11</v>
      </c>
      <c r="F1104" t="s">
        <v>12</v>
      </c>
      <c r="G1104">
        <v>3471.4096</v>
      </c>
      <c r="H1104" t="str">
        <f t="shared" si="51"/>
        <v>18-29</v>
      </c>
      <c r="I1104" t="str">
        <f t="shared" si="52"/>
        <v>Obese</v>
      </c>
      <c r="J1104" t="str">
        <f t="shared" si="53"/>
        <v>No</v>
      </c>
    </row>
    <row r="1105" spans="1:10" x14ac:dyDescent="0.25">
      <c r="A1105">
        <v>58</v>
      </c>
      <c r="B1105" t="s">
        <v>10</v>
      </c>
      <c r="C1105">
        <v>36.08</v>
      </c>
      <c r="D1105">
        <v>0</v>
      </c>
      <c r="E1105" t="s">
        <v>11</v>
      </c>
      <c r="F1105" t="s">
        <v>12</v>
      </c>
      <c r="G1105">
        <v>11363.2832</v>
      </c>
      <c r="H1105" t="str">
        <f t="shared" si="51"/>
        <v>50-59</v>
      </c>
      <c r="I1105" t="str">
        <f t="shared" si="52"/>
        <v>Obese</v>
      </c>
      <c r="J1105" t="str">
        <f t="shared" si="53"/>
        <v>No</v>
      </c>
    </row>
    <row r="1106" spans="1:10" x14ac:dyDescent="0.25">
      <c r="A1106">
        <v>37</v>
      </c>
      <c r="B1106" t="s">
        <v>10</v>
      </c>
      <c r="C1106">
        <v>29.8</v>
      </c>
      <c r="D1106">
        <v>0</v>
      </c>
      <c r="E1106" t="s">
        <v>11</v>
      </c>
      <c r="F1106" t="s">
        <v>9</v>
      </c>
      <c r="G1106">
        <v>20420.604650000001</v>
      </c>
      <c r="H1106" t="str">
        <f t="shared" si="51"/>
        <v>30-39</v>
      </c>
      <c r="I1106" t="str">
        <f t="shared" si="52"/>
        <v>Overweight</v>
      </c>
      <c r="J1106" t="str">
        <f t="shared" si="53"/>
        <v>Yes</v>
      </c>
    </row>
    <row r="1107" spans="1:10" x14ac:dyDescent="0.25">
      <c r="A1107">
        <v>54</v>
      </c>
      <c r="B1107" t="s">
        <v>7</v>
      </c>
      <c r="C1107">
        <v>31.24</v>
      </c>
      <c r="D1107">
        <v>0</v>
      </c>
      <c r="E1107" t="s">
        <v>11</v>
      </c>
      <c r="F1107" t="s">
        <v>12</v>
      </c>
      <c r="G1107">
        <v>10338.9316</v>
      </c>
      <c r="H1107" t="str">
        <f t="shared" si="51"/>
        <v>50-59</v>
      </c>
      <c r="I1107" t="str">
        <f t="shared" si="52"/>
        <v>Obese</v>
      </c>
      <c r="J1107" t="str">
        <f t="shared" si="53"/>
        <v>No</v>
      </c>
    </row>
    <row r="1108" spans="1:10" x14ac:dyDescent="0.25">
      <c r="A1108">
        <v>49</v>
      </c>
      <c r="B1108" t="s">
        <v>7</v>
      </c>
      <c r="C1108">
        <v>29.925000000000001</v>
      </c>
      <c r="D1108">
        <v>0</v>
      </c>
      <c r="E1108" t="s">
        <v>11</v>
      </c>
      <c r="F1108" t="s">
        <v>13</v>
      </c>
      <c r="G1108">
        <v>8988.1587500000005</v>
      </c>
      <c r="H1108" t="str">
        <f t="shared" si="51"/>
        <v>40-49</v>
      </c>
      <c r="I1108" t="str">
        <f t="shared" si="52"/>
        <v>Overweight</v>
      </c>
      <c r="J1108" t="str">
        <f t="shared" si="53"/>
        <v>No</v>
      </c>
    </row>
    <row r="1109" spans="1:10" x14ac:dyDescent="0.25">
      <c r="A1109">
        <v>50</v>
      </c>
      <c r="B1109" t="s">
        <v>7</v>
      </c>
      <c r="C1109">
        <v>26.22</v>
      </c>
      <c r="D1109">
        <v>2</v>
      </c>
      <c r="E1109" t="s">
        <v>11</v>
      </c>
      <c r="F1109" t="s">
        <v>13</v>
      </c>
      <c r="G1109">
        <v>10493.9458</v>
      </c>
      <c r="H1109" t="str">
        <f t="shared" si="51"/>
        <v>50-59</v>
      </c>
      <c r="I1109" t="str">
        <f t="shared" si="52"/>
        <v>Overweight</v>
      </c>
      <c r="J1109" t="str">
        <f t="shared" si="53"/>
        <v>No</v>
      </c>
    </row>
    <row r="1110" spans="1:10" x14ac:dyDescent="0.25">
      <c r="A1110">
        <v>26</v>
      </c>
      <c r="B1110" t="s">
        <v>10</v>
      </c>
      <c r="C1110">
        <v>30</v>
      </c>
      <c r="D1110">
        <v>1</v>
      </c>
      <c r="E1110" t="s">
        <v>11</v>
      </c>
      <c r="F1110" t="s">
        <v>9</v>
      </c>
      <c r="G1110">
        <v>2904.0880000000002</v>
      </c>
      <c r="H1110" t="str">
        <f t="shared" si="51"/>
        <v>18-29</v>
      </c>
      <c r="I1110" t="str">
        <f t="shared" si="52"/>
        <v>Obese</v>
      </c>
      <c r="J1110" t="str">
        <f t="shared" si="53"/>
        <v>No</v>
      </c>
    </row>
    <row r="1111" spans="1:10" x14ac:dyDescent="0.25">
      <c r="A1111">
        <v>45</v>
      </c>
      <c r="B1111" t="s">
        <v>10</v>
      </c>
      <c r="C1111">
        <v>20.350000000000001</v>
      </c>
      <c r="D1111">
        <v>3</v>
      </c>
      <c r="E1111" t="s">
        <v>11</v>
      </c>
      <c r="F1111" t="s">
        <v>12</v>
      </c>
      <c r="G1111">
        <v>8605.3615000000009</v>
      </c>
      <c r="H1111" t="str">
        <f t="shared" si="51"/>
        <v>40-49</v>
      </c>
      <c r="I1111" t="str">
        <f t="shared" si="52"/>
        <v>Normal</v>
      </c>
      <c r="J1111" t="str">
        <f t="shared" si="53"/>
        <v>No</v>
      </c>
    </row>
    <row r="1112" spans="1:10" x14ac:dyDescent="0.25">
      <c r="A1112">
        <v>54</v>
      </c>
      <c r="B1112" t="s">
        <v>7</v>
      </c>
      <c r="C1112">
        <v>32.299999999999997</v>
      </c>
      <c r="D1112">
        <v>1</v>
      </c>
      <c r="E1112" t="s">
        <v>11</v>
      </c>
      <c r="F1112" t="s">
        <v>14</v>
      </c>
      <c r="G1112">
        <v>11512.405000000001</v>
      </c>
      <c r="H1112" t="str">
        <f t="shared" si="51"/>
        <v>50-59</v>
      </c>
      <c r="I1112" t="str">
        <f t="shared" si="52"/>
        <v>Obese</v>
      </c>
      <c r="J1112" t="str">
        <f t="shared" si="53"/>
        <v>No</v>
      </c>
    </row>
    <row r="1113" spans="1:10" x14ac:dyDescent="0.25">
      <c r="A1113">
        <v>38</v>
      </c>
      <c r="B1113" t="s">
        <v>10</v>
      </c>
      <c r="C1113">
        <v>38.39</v>
      </c>
      <c r="D1113">
        <v>3</v>
      </c>
      <c r="E1113" t="s">
        <v>8</v>
      </c>
      <c r="F1113" t="s">
        <v>12</v>
      </c>
      <c r="G1113">
        <v>41949.244100000004</v>
      </c>
      <c r="H1113" t="str">
        <f t="shared" si="51"/>
        <v>30-39</v>
      </c>
      <c r="I1113" t="str">
        <f t="shared" si="52"/>
        <v>Obese</v>
      </c>
      <c r="J1113" t="str">
        <f t="shared" si="53"/>
        <v>Yes</v>
      </c>
    </row>
    <row r="1114" spans="1:10" x14ac:dyDescent="0.25">
      <c r="A1114">
        <v>48</v>
      </c>
      <c r="B1114" t="s">
        <v>7</v>
      </c>
      <c r="C1114">
        <v>25.85</v>
      </c>
      <c r="D1114">
        <v>3</v>
      </c>
      <c r="E1114" t="s">
        <v>8</v>
      </c>
      <c r="F1114" t="s">
        <v>12</v>
      </c>
      <c r="G1114">
        <v>24180.933499999999</v>
      </c>
      <c r="H1114" t="str">
        <f t="shared" si="51"/>
        <v>40-49</v>
      </c>
      <c r="I1114" t="str">
        <f t="shared" si="52"/>
        <v>Overweight</v>
      </c>
      <c r="J1114" t="str">
        <f t="shared" si="53"/>
        <v>Yes</v>
      </c>
    </row>
    <row r="1115" spans="1:10" x14ac:dyDescent="0.25">
      <c r="A1115">
        <v>28</v>
      </c>
      <c r="B1115" t="s">
        <v>7</v>
      </c>
      <c r="C1115">
        <v>26.315000000000001</v>
      </c>
      <c r="D1115">
        <v>3</v>
      </c>
      <c r="E1115" t="s">
        <v>11</v>
      </c>
      <c r="F1115" t="s">
        <v>13</v>
      </c>
      <c r="G1115">
        <v>5312.1698500000002</v>
      </c>
      <c r="H1115" t="str">
        <f t="shared" si="51"/>
        <v>18-29</v>
      </c>
      <c r="I1115" t="str">
        <f t="shared" si="52"/>
        <v>Overweight</v>
      </c>
      <c r="J1115" t="str">
        <f t="shared" si="53"/>
        <v>No</v>
      </c>
    </row>
    <row r="1116" spans="1:10" x14ac:dyDescent="0.25">
      <c r="A1116">
        <v>23</v>
      </c>
      <c r="B1116" t="s">
        <v>10</v>
      </c>
      <c r="C1116">
        <v>24.51</v>
      </c>
      <c r="D1116">
        <v>0</v>
      </c>
      <c r="E1116" t="s">
        <v>11</v>
      </c>
      <c r="F1116" t="s">
        <v>14</v>
      </c>
      <c r="G1116">
        <v>2396.0958999999998</v>
      </c>
      <c r="H1116" t="str">
        <f t="shared" si="51"/>
        <v>18-29</v>
      </c>
      <c r="I1116" t="str">
        <f t="shared" si="52"/>
        <v>Normal</v>
      </c>
      <c r="J1116" t="str">
        <f t="shared" si="53"/>
        <v>No</v>
      </c>
    </row>
    <row r="1117" spans="1:10" x14ac:dyDescent="0.25">
      <c r="A1117">
        <v>55</v>
      </c>
      <c r="B1117" t="s">
        <v>10</v>
      </c>
      <c r="C1117">
        <v>32.67</v>
      </c>
      <c r="D1117">
        <v>1</v>
      </c>
      <c r="E1117" t="s">
        <v>11</v>
      </c>
      <c r="F1117" t="s">
        <v>12</v>
      </c>
      <c r="G1117">
        <v>10807.4863</v>
      </c>
      <c r="H1117" t="str">
        <f t="shared" si="51"/>
        <v>50-59</v>
      </c>
      <c r="I1117" t="str">
        <f t="shared" si="52"/>
        <v>Obese</v>
      </c>
      <c r="J1117" t="str">
        <f t="shared" si="53"/>
        <v>No</v>
      </c>
    </row>
    <row r="1118" spans="1:10" x14ac:dyDescent="0.25">
      <c r="A1118">
        <v>41</v>
      </c>
      <c r="B1118" t="s">
        <v>10</v>
      </c>
      <c r="C1118">
        <v>29.64</v>
      </c>
      <c r="D1118">
        <v>5</v>
      </c>
      <c r="E1118" t="s">
        <v>11</v>
      </c>
      <c r="F1118" t="s">
        <v>14</v>
      </c>
      <c r="G1118">
        <v>9222.4025999999994</v>
      </c>
      <c r="H1118" t="str">
        <f t="shared" si="51"/>
        <v>40-49</v>
      </c>
      <c r="I1118" t="str">
        <f t="shared" si="52"/>
        <v>Overweight</v>
      </c>
      <c r="J1118" t="str">
        <f t="shared" si="53"/>
        <v>No</v>
      </c>
    </row>
    <row r="1119" spans="1:10" x14ac:dyDescent="0.25">
      <c r="A1119">
        <v>25</v>
      </c>
      <c r="B1119" t="s">
        <v>10</v>
      </c>
      <c r="C1119">
        <v>33.33</v>
      </c>
      <c r="D1119">
        <v>2</v>
      </c>
      <c r="E1119" t="s">
        <v>8</v>
      </c>
      <c r="F1119" t="s">
        <v>12</v>
      </c>
      <c r="G1119">
        <v>36124.573700000001</v>
      </c>
      <c r="H1119" t="str">
        <f t="shared" si="51"/>
        <v>18-29</v>
      </c>
      <c r="I1119" t="str">
        <f t="shared" si="52"/>
        <v>Obese</v>
      </c>
      <c r="J1119" t="str">
        <f t="shared" si="53"/>
        <v>Yes</v>
      </c>
    </row>
    <row r="1120" spans="1:10" x14ac:dyDescent="0.25">
      <c r="A1120">
        <v>33</v>
      </c>
      <c r="B1120" t="s">
        <v>10</v>
      </c>
      <c r="C1120">
        <v>35.75</v>
      </c>
      <c r="D1120">
        <v>1</v>
      </c>
      <c r="E1120" t="s">
        <v>8</v>
      </c>
      <c r="F1120" t="s">
        <v>12</v>
      </c>
      <c r="G1120">
        <v>38282.749499999998</v>
      </c>
      <c r="H1120" t="str">
        <f t="shared" si="51"/>
        <v>30-39</v>
      </c>
      <c r="I1120" t="str">
        <f t="shared" si="52"/>
        <v>Obese</v>
      </c>
      <c r="J1120" t="str">
        <f t="shared" si="53"/>
        <v>Yes</v>
      </c>
    </row>
    <row r="1121" spans="1:10" x14ac:dyDescent="0.25">
      <c r="A1121">
        <v>30</v>
      </c>
      <c r="B1121" t="s">
        <v>7</v>
      </c>
      <c r="C1121">
        <v>19.95</v>
      </c>
      <c r="D1121">
        <v>3</v>
      </c>
      <c r="E1121" t="s">
        <v>11</v>
      </c>
      <c r="F1121" t="s">
        <v>13</v>
      </c>
      <c r="G1121">
        <v>5693.4305000000004</v>
      </c>
      <c r="H1121" t="str">
        <f t="shared" si="51"/>
        <v>30-39</v>
      </c>
      <c r="I1121" t="str">
        <f t="shared" si="52"/>
        <v>Normal</v>
      </c>
      <c r="J1121" t="str">
        <f t="shared" si="53"/>
        <v>No</v>
      </c>
    </row>
    <row r="1122" spans="1:10" x14ac:dyDescent="0.25">
      <c r="A1122">
        <v>23</v>
      </c>
      <c r="B1122" t="s">
        <v>7</v>
      </c>
      <c r="C1122">
        <v>31.4</v>
      </c>
      <c r="D1122">
        <v>0</v>
      </c>
      <c r="E1122" t="s">
        <v>8</v>
      </c>
      <c r="F1122" t="s">
        <v>9</v>
      </c>
      <c r="G1122">
        <v>34166.273000000001</v>
      </c>
      <c r="H1122" t="str">
        <f t="shared" si="51"/>
        <v>18-29</v>
      </c>
      <c r="I1122" t="str">
        <f t="shared" si="52"/>
        <v>Obese</v>
      </c>
      <c r="J1122" t="str">
        <f t="shared" si="53"/>
        <v>Yes</v>
      </c>
    </row>
    <row r="1123" spans="1:10" x14ac:dyDescent="0.25">
      <c r="A1123">
        <v>46</v>
      </c>
      <c r="B1123" t="s">
        <v>10</v>
      </c>
      <c r="C1123">
        <v>38.17</v>
      </c>
      <c r="D1123">
        <v>2</v>
      </c>
      <c r="E1123" t="s">
        <v>11</v>
      </c>
      <c r="F1123" t="s">
        <v>12</v>
      </c>
      <c r="G1123">
        <v>8347.1643000000004</v>
      </c>
      <c r="H1123" t="str">
        <f t="shared" si="51"/>
        <v>40-49</v>
      </c>
      <c r="I1123" t="str">
        <f t="shared" si="52"/>
        <v>Obese</v>
      </c>
      <c r="J1123" t="str">
        <f t="shared" si="53"/>
        <v>No</v>
      </c>
    </row>
    <row r="1124" spans="1:10" x14ac:dyDescent="0.25">
      <c r="A1124">
        <v>53</v>
      </c>
      <c r="B1124" t="s">
        <v>7</v>
      </c>
      <c r="C1124">
        <v>36.86</v>
      </c>
      <c r="D1124">
        <v>3</v>
      </c>
      <c r="E1124" t="s">
        <v>8</v>
      </c>
      <c r="F1124" t="s">
        <v>13</v>
      </c>
      <c r="G1124">
        <v>46661.4424</v>
      </c>
      <c r="H1124" t="str">
        <f t="shared" si="51"/>
        <v>50-59</v>
      </c>
      <c r="I1124" t="str">
        <f t="shared" si="52"/>
        <v>Obese</v>
      </c>
      <c r="J1124" t="str">
        <f t="shared" si="53"/>
        <v>Yes</v>
      </c>
    </row>
    <row r="1125" spans="1:10" x14ac:dyDescent="0.25">
      <c r="A1125">
        <v>27</v>
      </c>
      <c r="B1125" t="s">
        <v>7</v>
      </c>
      <c r="C1125">
        <v>32.395000000000003</v>
      </c>
      <c r="D1125">
        <v>1</v>
      </c>
      <c r="E1125" t="s">
        <v>11</v>
      </c>
      <c r="F1125" t="s">
        <v>14</v>
      </c>
      <c r="G1125">
        <v>18903.491409999999</v>
      </c>
      <c r="H1125" t="str">
        <f t="shared" si="51"/>
        <v>18-29</v>
      </c>
      <c r="I1125" t="str">
        <f t="shared" si="52"/>
        <v>Obese</v>
      </c>
      <c r="J1125" t="str">
        <f t="shared" si="53"/>
        <v>No</v>
      </c>
    </row>
    <row r="1126" spans="1:10" x14ac:dyDescent="0.25">
      <c r="A1126">
        <v>23</v>
      </c>
      <c r="B1126" t="s">
        <v>7</v>
      </c>
      <c r="C1126">
        <v>42.75</v>
      </c>
      <c r="D1126">
        <v>1</v>
      </c>
      <c r="E1126" t="s">
        <v>8</v>
      </c>
      <c r="F1126" t="s">
        <v>14</v>
      </c>
      <c r="G1126">
        <v>40904.199500000002</v>
      </c>
      <c r="H1126" t="str">
        <f t="shared" si="51"/>
        <v>18-29</v>
      </c>
      <c r="I1126" t="str">
        <f t="shared" si="52"/>
        <v>Obese</v>
      </c>
      <c r="J1126" t="str">
        <f t="shared" si="53"/>
        <v>Yes</v>
      </c>
    </row>
    <row r="1127" spans="1:10" x14ac:dyDescent="0.25">
      <c r="A1127">
        <v>63</v>
      </c>
      <c r="B1127" t="s">
        <v>7</v>
      </c>
      <c r="C1127">
        <v>25.08</v>
      </c>
      <c r="D1127">
        <v>0</v>
      </c>
      <c r="E1127" t="s">
        <v>11</v>
      </c>
      <c r="F1127" t="s">
        <v>13</v>
      </c>
      <c r="G1127">
        <v>14254.608200000001</v>
      </c>
      <c r="H1127" t="str">
        <f t="shared" si="51"/>
        <v>60+</v>
      </c>
      <c r="I1127" t="str">
        <f t="shared" si="52"/>
        <v>Overweight</v>
      </c>
      <c r="J1127" t="str">
        <f t="shared" si="53"/>
        <v>No</v>
      </c>
    </row>
    <row r="1128" spans="1:10" x14ac:dyDescent="0.25">
      <c r="A1128">
        <v>55</v>
      </c>
      <c r="B1128" t="s">
        <v>10</v>
      </c>
      <c r="C1128">
        <v>29.9</v>
      </c>
      <c r="D1128">
        <v>0</v>
      </c>
      <c r="E1128" t="s">
        <v>11</v>
      </c>
      <c r="F1128" t="s">
        <v>9</v>
      </c>
      <c r="G1128">
        <v>10214.636</v>
      </c>
      <c r="H1128" t="str">
        <f t="shared" si="51"/>
        <v>50-59</v>
      </c>
      <c r="I1128" t="str">
        <f t="shared" si="52"/>
        <v>Overweight</v>
      </c>
      <c r="J1128" t="str">
        <f t="shared" si="53"/>
        <v>No</v>
      </c>
    </row>
    <row r="1129" spans="1:10" x14ac:dyDescent="0.25">
      <c r="A1129">
        <v>35</v>
      </c>
      <c r="B1129" t="s">
        <v>7</v>
      </c>
      <c r="C1129">
        <v>35.86</v>
      </c>
      <c r="D1129">
        <v>2</v>
      </c>
      <c r="E1129" t="s">
        <v>11</v>
      </c>
      <c r="F1129" t="s">
        <v>12</v>
      </c>
      <c r="G1129">
        <v>5836.5204000000003</v>
      </c>
      <c r="H1129" t="str">
        <f t="shared" si="51"/>
        <v>30-39</v>
      </c>
      <c r="I1129" t="str">
        <f t="shared" si="52"/>
        <v>Obese</v>
      </c>
      <c r="J1129" t="str">
        <f t="shared" si="53"/>
        <v>No</v>
      </c>
    </row>
    <row r="1130" spans="1:10" x14ac:dyDescent="0.25">
      <c r="A1130">
        <v>34</v>
      </c>
      <c r="B1130" t="s">
        <v>10</v>
      </c>
      <c r="C1130">
        <v>32.799999999999997</v>
      </c>
      <c r="D1130">
        <v>1</v>
      </c>
      <c r="E1130" t="s">
        <v>11</v>
      </c>
      <c r="F1130" t="s">
        <v>9</v>
      </c>
      <c r="G1130">
        <v>14358.364369999999</v>
      </c>
      <c r="H1130" t="str">
        <f t="shared" si="51"/>
        <v>30-39</v>
      </c>
      <c r="I1130" t="str">
        <f t="shared" si="52"/>
        <v>Obese</v>
      </c>
      <c r="J1130" t="str">
        <f t="shared" si="53"/>
        <v>No</v>
      </c>
    </row>
    <row r="1131" spans="1:10" x14ac:dyDescent="0.25">
      <c r="A1131">
        <v>19</v>
      </c>
      <c r="B1131" t="s">
        <v>7</v>
      </c>
      <c r="C1131">
        <v>18.600000000000001</v>
      </c>
      <c r="D1131">
        <v>0</v>
      </c>
      <c r="E1131" t="s">
        <v>11</v>
      </c>
      <c r="F1131" t="s">
        <v>9</v>
      </c>
      <c r="G1131">
        <v>1728.8969999999999</v>
      </c>
      <c r="H1131" t="str">
        <f t="shared" si="51"/>
        <v>18-29</v>
      </c>
      <c r="I1131" t="str">
        <f t="shared" si="52"/>
        <v>Normal</v>
      </c>
      <c r="J1131" t="str">
        <f t="shared" si="53"/>
        <v>No</v>
      </c>
    </row>
    <row r="1132" spans="1:10" x14ac:dyDescent="0.25">
      <c r="A1132">
        <v>39</v>
      </c>
      <c r="B1132" t="s">
        <v>7</v>
      </c>
      <c r="C1132">
        <v>23.87</v>
      </c>
      <c r="D1132">
        <v>5</v>
      </c>
      <c r="E1132" t="s">
        <v>11</v>
      </c>
      <c r="F1132" t="s">
        <v>12</v>
      </c>
      <c r="G1132">
        <v>8582.3022999999994</v>
      </c>
      <c r="H1132" t="str">
        <f t="shared" si="51"/>
        <v>30-39</v>
      </c>
      <c r="I1132" t="str">
        <f t="shared" si="52"/>
        <v>Normal</v>
      </c>
      <c r="J1132" t="str">
        <f t="shared" si="53"/>
        <v>No</v>
      </c>
    </row>
    <row r="1133" spans="1:10" x14ac:dyDescent="0.25">
      <c r="A1133">
        <v>27</v>
      </c>
      <c r="B1133" t="s">
        <v>10</v>
      </c>
      <c r="C1133">
        <v>45.9</v>
      </c>
      <c r="D1133">
        <v>2</v>
      </c>
      <c r="E1133" t="s">
        <v>11</v>
      </c>
      <c r="F1133" t="s">
        <v>9</v>
      </c>
      <c r="G1133">
        <v>3693.4279999999999</v>
      </c>
      <c r="H1133" t="str">
        <f t="shared" si="51"/>
        <v>18-29</v>
      </c>
      <c r="I1133" t="str">
        <f t="shared" si="52"/>
        <v>Obese</v>
      </c>
      <c r="J1133" t="str">
        <f t="shared" si="53"/>
        <v>No</v>
      </c>
    </row>
    <row r="1134" spans="1:10" x14ac:dyDescent="0.25">
      <c r="A1134">
        <v>57</v>
      </c>
      <c r="B1134" t="s">
        <v>10</v>
      </c>
      <c r="C1134">
        <v>40.28</v>
      </c>
      <c r="D1134">
        <v>0</v>
      </c>
      <c r="E1134" t="s">
        <v>11</v>
      </c>
      <c r="F1134" t="s">
        <v>14</v>
      </c>
      <c r="G1134">
        <v>20709.020339999999</v>
      </c>
      <c r="H1134" t="str">
        <f t="shared" si="51"/>
        <v>50-59</v>
      </c>
      <c r="I1134" t="str">
        <f t="shared" si="52"/>
        <v>Obese</v>
      </c>
      <c r="J1134" t="str">
        <f t="shared" si="53"/>
        <v>Yes</v>
      </c>
    </row>
    <row r="1135" spans="1:10" x14ac:dyDescent="0.25">
      <c r="A1135">
        <v>52</v>
      </c>
      <c r="B1135" t="s">
        <v>7</v>
      </c>
      <c r="C1135">
        <v>18.335000000000001</v>
      </c>
      <c r="D1135">
        <v>0</v>
      </c>
      <c r="E1135" t="s">
        <v>11</v>
      </c>
      <c r="F1135" t="s">
        <v>13</v>
      </c>
      <c r="G1135">
        <v>9991.0376500000002</v>
      </c>
      <c r="H1135" t="str">
        <f t="shared" si="51"/>
        <v>50-59</v>
      </c>
      <c r="I1135" t="str">
        <f t="shared" si="52"/>
        <v>Underweight</v>
      </c>
      <c r="J1135" t="str">
        <f t="shared" si="53"/>
        <v>No</v>
      </c>
    </row>
    <row r="1136" spans="1:10" x14ac:dyDescent="0.25">
      <c r="A1136">
        <v>28</v>
      </c>
      <c r="B1136" t="s">
        <v>10</v>
      </c>
      <c r="C1136">
        <v>33.82</v>
      </c>
      <c r="D1136">
        <v>0</v>
      </c>
      <c r="E1136" t="s">
        <v>11</v>
      </c>
      <c r="F1136" t="s">
        <v>13</v>
      </c>
      <c r="G1136">
        <v>19673.335729999999</v>
      </c>
      <c r="H1136" t="str">
        <f t="shared" si="51"/>
        <v>18-29</v>
      </c>
      <c r="I1136" t="str">
        <f t="shared" si="52"/>
        <v>Obese</v>
      </c>
      <c r="J1136" t="str">
        <f t="shared" si="53"/>
        <v>No</v>
      </c>
    </row>
    <row r="1137" spans="1:10" x14ac:dyDescent="0.25">
      <c r="A1137">
        <v>50</v>
      </c>
      <c r="B1137" t="s">
        <v>7</v>
      </c>
      <c r="C1137">
        <v>28.12</v>
      </c>
      <c r="D1137">
        <v>3</v>
      </c>
      <c r="E1137" t="s">
        <v>11</v>
      </c>
      <c r="F1137" t="s">
        <v>13</v>
      </c>
      <c r="G1137">
        <v>11085.586799999999</v>
      </c>
      <c r="H1137" t="str">
        <f t="shared" si="51"/>
        <v>50-59</v>
      </c>
      <c r="I1137" t="str">
        <f t="shared" si="52"/>
        <v>Overweight</v>
      </c>
      <c r="J1137" t="str">
        <f t="shared" si="53"/>
        <v>No</v>
      </c>
    </row>
    <row r="1138" spans="1:10" x14ac:dyDescent="0.25">
      <c r="A1138">
        <v>44</v>
      </c>
      <c r="B1138" t="s">
        <v>7</v>
      </c>
      <c r="C1138">
        <v>25</v>
      </c>
      <c r="D1138">
        <v>1</v>
      </c>
      <c r="E1138" t="s">
        <v>11</v>
      </c>
      <c r="F1138" t="s">
        <v>9</v>
      </c>
      <c r="G1138">
        <v>7623.518</v>
      </c>
      <c r="H1138" t="str">
        <f t="shared" si="51"/>
        <v>40-49</v>
      </c>
      <c r="I1138" t="str">
        <f t="shared" si="52"/>
        <v>Overweight</v>
      </c>
      <c r="J1138" t="str">
        <f t="shared" si="53"/>
        <v>No</v>
      </c>
    </row>
    <row r="1139" spans="1:10" x14ac:dyDescent="0.25">
      <c r="A1139">
        <v>26</v>
      </c>
      <c r="B1139" t="s">
        <v>7</v>
      </c>
      <c r="C1139">
        <v>22.23</v>
      </c>
      <c r="D1139">
        <v>0</v>
      </c>
      <c r="E1139" t="s">
        <v>11</v>
      </c>
      <c r="F1139" t="s">
        <v>13</v>
      </c>
      <c r="G1139">
        <v>3176.2876999999999</v>
      </c>
      <c r="H1139" t="str">
        <f t="shared" si="51"/>
        <v>18-29</v>
      </c>
      <c r="I1139" t="str">
        <f t="shared" si="52"/>
        <v>Normal</v>
      </c>
      <c r="J1139" t="str">
        <f t="shared" si="53"/>
        <v>No</v>
      </c>
    </row>
    <row r="1140" spans="1:10" x14ac:dyDescent="0.25">
      <c r="A1140">
        <v>33</v>
      </c>
      <c r="B1140" t="s">
        <v>10</v>
      </c>
      <c r="C1140">
        <v>30.25</v>
      </c>
      <c r="D1140">
        <v>0</v>
      </c>
      <c r="E1140" t="s">
        <v>11</v>
      </c>
      <c r="F1140" t="s">
        <v>12</v>
      </c>
      <c r="G1140">
        <v>3704.3544999999999</v>
      </c>
      <c r="H1140" t="str">
        <f t="shared" si="51"/>
        <v>30-39</v>
      </c>
      <c r="I1140" t="str">
        <f t="shared" si="52"/>
        <v>Obese</v>
      </c>
      <c r="J1140" t="str">
        <f t="shared" si="53"/>
        <v>No</v>
      </c>
    </row>
    <row r="1141" spans="1:10" x14ac:dyDescent="0.25">
      <c r="A1141">
        <v>19</v>
      </c>
      <c r="B1141" t="s">
        <v>7</v>
      </c>
      <c r="C1141">
        <v>32.49</v>
      </c>
      <c r="D1141">
        <v>0</v>
      </c>
      <c r="E1141" t="s">
        <v>8</v>
      </c>
      <c r="F1141" t="s">
        <v>13</v>
      </c>
      <c r="G1141">
        <v>36898.733079999998</v>
      </c>
      <c r="H1141" t="str">
        <f t="shared" si="51"/>
        <v>18-29</v>
      </c>
      <c r="I1141" t="str">
        <f t="shared" si="52"/>
        <v>Obese</v>
      </c>
      <c r="J1141" t="str">
        <f t="shared" si="53"/>
        <v>Yes</v>
      </c>
    </row>
    <row r="1142" spans="1:10" x14ac:dyDescent="0.25">
      <c r="A1142">
        <v>50</v>
      </c>
      <c r="B1142" t="s">
        <v>10</v>
      </c>
      <c r="C1142">
        <v>37.07</v>
      </c>
      <c r="D1142">
        <v>1</v>
      </c>
      <c r="E1142" t="s">
        <v>11</v>
      </c>
      <c r="F1142" t="s">
        <v>12</v>
      </c>
      <c r="G1142">
        <v>9048.0272999999997</v>
      </c>
      <c r="H1142" t="str">
        <f t="shared" si="51"/>
        <v>50-59</v>
      </c>
      <c r="I1142" t="str">
        <f t="shared" si="52"/>
        <v>Obese</v>
      </c>
      <c r="J1142" t="str">
        <f t="shared" si="53"/>
        <v>No</v>
      </c>
    </row>
    <row r="1143" spans="1:10" x14ac:dyDescent="0.25">
      <c r="A1143">
        <v>41</v>
      </c>
      <c r="B1143" t="s">
        <v>7</v>
      </c>
      <c r="C1143">
        <v>32.6</v>
      </c>
      <c r="D1143">
        <v>3</v>
      </c>
      <c r="E1143" t="s">
        <v>11</v>
      </c>
      <c r="F1143" t="s">
        <v>9</v>
      </c>
      <c r="G1143">
        <v>7954.5169999999998</v>
      </c>
      <c r="H1143" t="str">
        <f t="shared" si="51"/>
        <v>40-49</v>
      </c>
      <c r="I1143" t="str">
        <f t="shared" si="52"/>
        <v>Obese</v>
      </c>
      <c r="J1143" t="str">
        <f t="shared" si="53"/>
        <v>No</v>
      </c>
    </row>
    <row r="1144" spans="1:10" x14ac:dyDescent="0.25">
      <c r="A1144">
        <v>52</v>
      </c>
      <c r="B1144" t="s">
        <v>7</v>
      </c>
      <c r="C1144">
        <v>24.86</v>
      </c>
      <c r="D1144">
        <v>0</v>
      </c>
      <c r="E1144" t="s">
        <v>11</v>
      </c>
      <c r="F1144" t="s">
        <v>12</v>
      </c>
      <c r="G1144">
        <v>27117.993780000001</v>
      </c>
      <c r="H1144" t="str">
        <f t="shared" si="51"/>
        <v>50-59</v>
      </c>
      <c r="I1144" t="str">
        <f t="shared" si="52"/>
        <v>Normal</v>
      </c>
      <c r="J1144" t="str">
        <f t="shared" si="53"/>
        <v>Yes</v>
      </c>
    </row>
    <row r="1145" spans="1:10" x14ac:dyDescent="0.25">
      <c r="A1145">
        <v>39</v>
      </c>
      <c r="B1145" t="s">
        <v>10</v>
      </c>
      <c r="C1145">
        <v>32.340000000000003</v>
      </c>
      <c r="D1145">
        <v>2</v>
      </c>
      <c r="E1145" t="s">
        <v>11</v>
      </c>
      <c r="F1145" t="s">
        <v>12</v>
      </c>
      <c r="G1145">
        <v>6338.0756000000001</v>
      </c>
      <c r="H1145" t="str">
        <f t="shared" si="51"/>
        <v>30-39</v>
      </c>
      <c r="I1145" t="str">
        <f t="shared" si="52"/>
        <v>Obese</v>
      </c>
      <c r="J1145" t="str">
        <f t="shared" si="53"/>
        <v>No</v>
      </c>
    </row>
    <row r="1146" spans="1:10" x14ac:dyDescent="0.25">
      <c r="A1146">
        <v>50</v>
      </c>
      <c r="B1146" t="s">
        <v>10</v>
      </c>
      <c r="C1146">
        <v>32.299999999999997</v>
      </c>
      <c r="D1146">
        <v>2</v>
      </c>
      <c r="E1146" t="s">
        <v>11</v>
      </c>
      <c r="F1146" t="s">
        <v>9</v>
      </c>
      <c r="G1146">
        <v>9630.3970000000008</v>
      </c>
      <c r="H1146" t="str">
        <f t="shared" si="51"/>
        <v>50-59</v>
      </c>
      <c r="I1146" t="str">
        <f t="shared" si="52"/>
        <v>Obese</v>
      </c>
      <c r="J1146" t="str">
        <f t="shared" si="53"/>
        <v>No</v>
      </c>
    </row>
    <row r="1147" spans="1:10" x14ac:dyDescent="0.25">
      <c r="A1147">
        <v>52</v>
      </c>
      <c r="B1147" t="s">
        <v>10</v>
      </c>
      <c r="C1147">
        <v>32.774999999999999</v>
      </c>
      <c r="D1147">
        <v>3</v>
      </c>
      <c r="E1147" t="s">
        <v>11</v>
      </c>
      <c r="F1147" t="s">
        <v>13</v>
      </c>
      <c r="G1147">
        <v>11289.10925</v>
      </c>
      <c r="H1147" t="str">
        <f t="shared" si="51"/>
        <v>50-59</v>
      </c>
      <c r="I1147" t="str">
        <f t="shared" si="52"/>
        <v>Obese</v>
      </c>
      <c r="J1147" t="str">
        <f t="shared" si="53"/>
        <v>No</v>
      </c>
    </row>
    <row r="1148" spans="1:10" x14ac:dyDescent="0.25">
      <c r="A1148">
        <v>60</v>
      </c>
      <c r="B1148" t="s">
        <v>10</v>
      </c>
      <c r="C1148">
        <v>32.799999999999997</v>
      </c>
      <c r="D1148">
        <v>0</v>
      </c>
      <c r="E1148" t="s">
        <v>8</v>
      </c>
      <c r="F1148" t="s">
        <v>9</v>
      </c>
      <c r="G1148">
        <v>52590.829389999999</v>
      </c>
      <c r="H1148" t="str">
        <f t="shared" si="51"/>
        <v>60+</v>
      </c>
      <c r="I1148" t="str">
        <f t="shared" si="52"/>
        <v>Obese</v>
      </c>
      <c r="J1148" t="str">
        <f t="shared" si="53"/>
        <v>Yes</v>
      </c>
    </row>
    <row r="1149" spans="1:10" x14ac:dyDescent="0.25">
      <c r="A1149">
        <v>20</v>
      </c>
      <c r="B1149" t="s">
        <v>7</v>
      </c>
      <c r="C1149">
        <v>31.92</v>
      </c>
      <c r="D1149">
        <v>0</v>
      </c>
      <c r="E1149" t="s">
        <v>11</v>
      </c>
      <c r="F1149" t="s">
        <v>13</v>
      </c>
      <c r="G1149">
        <v>2261.5688</v>
      </c>
      <c r="H1149" t="str">
        <f t="shared" si="51"/>
        <v>18-29</v>
      </c>
      <c r="I1149" t="str">
        <f t="shared" si="52"/>
        <v>Obese</v>
      </c>
      <c r="J1149" t="str">
        <f t="shared" si="53"/>
        <v>No</v>
      </c>
    </row>
    <row r="1150" spans="1:10" x14ac:dyDescent="0.25">
      <c r="A1150">
        <v>55</v>
      </c>
      <c r="B1150" t="s">
        <v>10</v>
      </c>
      <c r="C1150">
        <v>21.5</v>
      </c>
      <c r="D1150">
        <v>1</v>
      </c>
      <c r="E1150" t="s">
        <v>11</v>
      </c>
      <c r="F1150" t="s">
        <v>9</v>
      </c>
      <c r="G1150">
        <v>10791.96</v>
      </c>
      <c r="H1150" t="str">
        <f t="shared" si="51"/>
        <v>50-59</v>
      </c>
      <c r="I1150" t="str">
        <f t="shared" si="52"/>
        <v>Normal</v>
      </c>
      <c r="J1150" t="str">
        <f t="shared" si="53"/>
        <v>No</v>
      </c>
    </row>
    <row r="1151" spans="1:10" x14ac:dyDescent="0.25">
      <c r="A1151">
        <v>42</v>
      </c>
      <c r="B1151" t="s">
        <v>10</v>
      </c>
      <c r="C1151">
        <v>34.1</v>
      </c>
      <c r="D1151">
        <v>0</v>
      </c>
      <c r="E1151" t="s">
        <v>11</v>
      </c>
      <c r="F1151" t="s">
        <v>9</v>
      </c>
      <c r="G1151">
        <v>5979.7309999999998</v>
      </c>
      <c r="H1151" t="str">
        <f t="shared" si="51"/>
        <v>40-49</v>
      </c>
      <c r="I1151" t="str">
        <f t="shared" si="52"/>
        <v>Obese</v>
      </c>
      <c r="J1151" t="str">
        <f t="shared" si="53"/>
        <v>No</v>
      </c>
    </row>
    <row r="1152" spans="1:10" x14ac:dyDescent="0.25">
      <c r="A1152">
        <v>18</v>
      </c>
      <c r="B1152" t="s">
        <v>7</v>
      </c>
      <c r="C1152">
        <v>30.305</v>
      </c>
      <c r="D1152">
        <v>0</v>
      </c>
      <c r="E1152" t="s">
        <v>11</v>
      </c>
      <c r="F1152" t="s">
        <v>14</v>
      </c>
      <c r="G1152">
        <v>2203.7359499999998</v>
      </c>
      <c r="H1152" t="str">
        <f t="shared" si="51"/>
        <v>18-29</v>
      </c>
      <c r="I1152" t="str">
        <f t="shared" si="52"/>
        <v>Obese</v>
      </c>
      <c r="J1152" t="str">
        <f t="shared" si="53"/>
        <v>No</v>
      </c>
    </row>
    <row r="1153" spans="1:10" x14ac:dyDescent="0.25">
      <c r="A1153">
        <v>58</v>
      </c>
      <c r="B1153" t="s">
        <v>7</v>
      </c>
      <c r="C1153">
        <v>36.479999999999997</v>
      </c>
      <c r="D1153">
        <v>0</v>
      </c>
      <c r="E1153" t="s">
        <v>11</v>
      </c>
      <c r="F1153" t="s">
        <v>13</v>
      </c>
      <c r="G1153">
        <v>12235.8392</v>
      </c>
      <c r="H1153" t="str">
        <f t="shared" si="51"/>
        <v>50-59</v>
      </c>
      <c r="I1153" t="str">
        <f t="shared" si="52"/>
        <v>Obese</v>
      </c>
      <c r="J1153" t="str">
        <f t="shared" si="53"/>
        <v>No</v>
      </c>
    </row>
    <row r="1154" spans="1:10" x14ac:dyDescent="0.25">
      <c r="A1154">
        <v>43</v>
      </c>
      <c r="B1154" t="s">
        <v>7</v>
      </c>
      <c r="C1154">
        <v>32.56</v>
      </c>
      <c r="D1154">
        <v>3</v>
      </c>
      <c r="E1154" t="s">
        <v>8</v>
      </c>
      <c r="F1154" t="s">
        <v>12</v>
      </c>
      <c r="G1154">
        <v>40941.285400000001</v>
      </c>
      <c r="H1154" t="str">
        <f t="shared" ref="H1154:H1217" si="54">IF(A1154&lt;30, "18-29", IF(A1154&lt;40, "30-39", IF(A1154&lt;50, "40-49", IF(A1154&lt;60, "50-59", "60+"))))</f>
        <v>40-49</v>
      </c>
      <c r="I1154" t="str">
        <f t="shared" ref="I1154:I1217" si="55">IF(C1154&lt;18.5, "Underweight", IF(C1154&lt;25, "Normal", IF(C1154&lt;30,"Overweight","Obese")))</f>
        <v>Obese</v>
      </c>
      <c r="J1154" t="str">
        <f t="shared" ref="J1154:J1217" si="56">IF(G1154&gt;20000,"Yes","No")</f>
        <v>Yes</v>
      </c>
    </row>
    <row r="1155" spans="1:10" x14ac:dyDescent="0.25">
      <c r="A1155">
        <v>35</v>
      </c>
      <c r="B1155" t="s">
        <v>7</v>
      </c>
      <c r="C1155">
        <v>35.814999999999998</v>
      </c>
      <c r="D1155">
        <v>1</v>
      </c>
      <c r="E1155" t="s">
        <v>11</v>
      </c>
      <c r="F1155" t="s">
        <v>13</v>
      </c>
      <c r="G1155">
        <v>5630.4578499999998</v>
      </c>
      <c r="H1155" t="str">
        <f t="shared" si="54"/>
        <v>30-39</v>
      </c>
      <c r="I1155" t="str">
        <f t="shared" si="55"/>
        <v>Obese</v>
      </c>
      <c r="J1155" t="str">
        <f t="shared" si="56"/>
        <v>No</v>
      </c>
    </row>
    <row r="1156" spans="1:10" x14ac:dyDescent="0.25">
      <c r="A1156">
        <v>48</v>
      </c>
      <c r="B1156" t="s">
        <v>7</v>
      </c>
      <c r="C1156">
        <v>27.93</v>
      </c>
      <c r="D1156">
        <v>4</v>
      </c>
      <c r="E1156" t="s">
        <v>11</v>
      </c>
      <c r="F1156" t="s">
        <v>13</v>
      </c>
      <c r="G1156">
        <v>11015.1747</v>
      </c>
      <c r="H1156" t="str">
        <f t="shared" si="54"/>
        <v>40-49</v>
      </c>
      <c r="I1156" t="str">
        <f t="shared" si="55"/>
        <v>Overweight</v>
      </c>
      <c r="J1156" t="str">
        <f t="shared" si="56"/>
        <v>No</v>
      </c>
    </row>
    <row r="1157" spans="1:10" x14ac:dyDescent="0.25">
      <c r="A1157">
        <v>36</v>
      </c>
      <c r="B1157" t="s">
        <v>7</v>
      </c>
      <c r="C1157">
        <v>22.135000000000002</v>
      </c>
      <c r="D1157">
        <v>3</v>
      </c>
      <c r="E1157" t="s">
        <v>11</v>
      </c>
      <c r="F1157" t="s">
        <v>14</v>
      </c>
      <c r="G1157">
        <v>7228.2156500000001</v>
      </c>
      <c r="H1157" t="str">
        <f t="shared" si="54"/>
        <v>30-39</v>
      </c>
      <c r="I1157" t="str">
        <f t="shared" si="55"/>
        <v>Normal</v>
      </c>
      <c r="J1157" t="str">
        <f t="shared" si="56"/>
        <v>No</v>
      </c>
    </row>
    <row r="1158" spans="1:10" x14ac:dyDescent="0.25">
      <c r="A1158">
        <v>19</v>
      </c>
      <c r="B1158" t="s">
        <v>10</v>
      </c>
      <c r="C1158">
        <v>44.88</v>
      </c>
      <c r="D1158">
        <v>0</v>
      </c>
      <c r="E1158" t="s">
        <v>8</v>
      </c>
      <c r="F1158" t="s">
        <v>12</v>
      </c>
      <c r="G1158">
        <v>39722.746200000001</v>
      </c>
      <c r="H1158" t="str">
        <f t="shared" si="54"/>
        <v>18-29</v>
      </c>
      <c r="I1158" t="str">
        <f t="shared" si="55"/>
        <v>Obese</v>
      </c>
      <c r="J1158" t="str">
        <f t="shared" si="56"/>
        <v>Yes</v>
      </c>
    </row>
    <row r="1159" spans="1:10" x14ac:dyDescent="0.25">
      <c r="A1159">
        <v>23</v>
      </c>
      <c r="B1159" t="s">
        <v>7</v>
      </c>
      <c r="C1159">
        <v>23.18</v>
      </c>
      <c r="D1159">
        <v>2</v>
      </c>
      <c r="E1159" t="s">
        <v>11</v>
      </c>
      <c r="F1159" t="s">
        <v>13</v>
      </c>
      <c r="G1159">
        <v>14426.073850000001</v>
      </c>
      <c r="H1159" t="str">
        <f t="shared" si="54"/>
        <v>18-29</v>
      </c>
      <c r="I1159" t="str">
        <f t="shared" si="55"/>
        <v>Normal</v>
      </c>
      <c r="J1159" t="str">
        <f t="shared" si="56"/>
        <v>No</v>
      </c>
    </row>
    <row r="1160" spans="1:10" x14ac:dyDescent="0.25">
      <c r="A1160">
        <v>20</v>
      </c>
      <c r="B1160" t="s">
        <v>7</v>
      </c>
      <c r="C1160">
        <v>30.59</v>
      </c>
      <c r="D1160">
        <v>0</v>
      </c>
      <c r="E1160" t="s">
        <v>11</v>
      </c>
      <c r="F1160" t="s">
        <v>14</v>
      </c>
      <c r="G1160">
        <v>2459.7201</v>
      </c>
      <c r="H1160" t="str">
        <f t="shared" si="54"/>
        <v>18-29</v>
      </c>
      <c r="I1160" t="str">
        <f t="shared" si="55"/>
        <v>Obese</v>
      </c>
      <c r="J1160" t="str">
        <f t="shared" si="56"/>
        <v>No</v>
      </c>
    </row>
    <row r="1161" spans="1:10" x14ac:dyDescent="0.25">
      <c r="A1161">
        <v>32</v>
      </c>
      <c r="B1161" t="s">
        <v>7</v>
      </c>
      <c r="C1161">
        <v>41.1</v>
      </c>
      <c r="D1161">
        <v>0</v>
      </c>
      <c r="E1161" t="s">
        <v>11</v>
      </c>
      <c r="F1161" t="s">
        <v>9</v>
      </c>
      <c r="G1161">
        <v>3989.8409999999999</v>
      </c>
      <c r="H1161" t="str">
        <f t="shared" si="54"/>
        <v>30-39</v>
      </c>
      <c r="I1161" t="str">
        <f t="shared" si="55"/>
        <v>Obese</v>
      </c>
      <c r="J1161" t="str">
        <f t="shared" si="56"/>
        <v>No</v>
      </c>
    </row>
    <row r="1162" spans="1:10" x14ac:dyDescent="0.25">
      <c r="A1162">
        <v>43</v>
      </c>
      <c r="B1162" t="s">
        <v>7</v>
      </c>
      <c r="C1162">
        <v>34.58</v>
      </c>
      <c r="D1162">
        <v>1</v>
      </c>
      <c r="E1162" t="s">
        <v>11</v>
      </c>
      <c r="F1162" t="s">
        <v>13</v>
      </c>
      <c r="G1162">
        <v>7727.2532000000001</v>
      </c>
      <c r="H1162" t="str">
        <f t="shared" si="54"/>
        <v>40-49</v>
      </c>
      <c r="I1162" t="str">
        <f t="shared" si="55"/>
        <v>Obese</v>
      </c>
      <c r="J1162" t="str">
        <f t="shared" si="56"/>
        <v>No</v>
      </c>
    </row>
    <row r="1163" spans="1:10" x14ac:dyDescent="0.25">
      <c r="A1163">
        <v>34</v>
      </c>
      <c r="B1163" t="s">
        <v>10</v>
      </c>
      <c r="C1163">
        <v>42.13</v>
      </c>
      <c r="D1163">
        <v>2</v>
      </c>
      <c r="E1163" t="s">
        <v>11</v>
      </c>
      <c r="F1163" t="s">
        <v>12</v>
      </c>
      <c r="G1163">
        <v>5124.1886999999997</v>
      </c>
      <c r="H1163" t="str">
        <f t="shared" si="54"/>
        <v>30-39</v>
      </c>
      <c r="I1163" t="str">
        <f t="shared" si="55"/>
        <v>Obese</v>
      </c>
      <c r="J1163" t="str">
        <f t="shared" si="56"/>
        <v>No</v>
      </c>
    </row>
    <row r="1164" spans="1:10" x14ac:dyDescent="0.25">
      <c r="A1164">
        <v>30</v>
      </c>
      <c r="B1164" t="s">
        <v>10</v>
      </c>
      <c r="C1164">
        <v>38.83</v>
      </c>
      <c r="D1164">
        <v>1</v>
      </c>
      <c r="E1164" t="s">
        <v>11</v>
      </c>
      <c r="F1164" t="s">
        <v>12</v>
      </c>
      <c r="G1164">
        <v>18963.171920000001</v>
      </c>
      <c r="H1164" t="str">
        <f t="shared" si="54"/>
        <v>30-39</v>
      </c>
      <c r="I1164" t="str">
        <f t="shared" si="55"/>
        <v>Obese</v>
      </c>
      <c r="J1164" t="str">
        <f t="shared" si="56"/>
        <v>No</v>
      </c>
    </row>
    <row r="1165" spans="1:10" x14ac:dyDescent="0.25">
      <c r="A1165">
        <v>18</v>
      </c>
      <c r="B1165" t="s">
        <v>7</v>
      </c>
      <c r="C1165">
        <v>28.215</v>
      </c>
      <c r="D1165">
        <v>0</v>
      </c>
      <c r="E1165" t="s">
        <v>11</v>
      </c>
      <c r="F1165" t="s">
        <v>14</v>
      </c>
      <c r="G1165">
        <v>2200.8308499999998</v>
      </c>
      <c r="H1165" t="str">
        <f t="shared" si="54"/>
        <v>18-29</v>
      </c>
      <c r="I1165" t="str">
        <f t="shared" si="55"/>
        <v>Overweight</v>
      </c>
      <c r="J1165" t="str">
        <f t="shared" si="56"/>
        <v>No</v>
      </c>
    </row>
    <row r="1166" spans="1:10" x14ac:dyDescent="0.25">
      <c r="A1166">
        <v>41</v>
      </c>
      <c r="B1166" t="s">
        <v>7</v>
      </c>
      <c r="C1166">
        <v>28.31</v>
      </c>
      <c r="D1166">
        <v>1</v>
      </c>
      <c r="E1166" t="s">
        <v>11</v>
      </c>
      <c r="F1166" t="s">
        <v>13</v>
      </c>
      <c r="G1166">
        <v>7153.5538999999999</v>
      </c>
      <c r="H1166" t="str">
        <f t="shared" si="54"/>
        <v>40-49</v>
      </c>
      <c r="I1166" t="str">
        <f t="shared" si="55"/>
        <v>Overweight</v>
      </c>
      <c r="J1166" t="str">
        <f t="shared" si="56"/>
        <v>No</v>
      </c>
    </row>
    <row r="1167" spans="1:10" x14ac:dyDescent="0.25">
      <c r="A1167">
        <v>35</v>
      </c>
      <c r="B1167" t="s">
        <v>7</v>
      </c>
      <c r="C1167">
        <v>26.125</v>
      </c>
      <c r="D1167">
        <v>0</v>
      </c>
      <c r="E1167" t="s">
        <v>11</v>
      </c>
      <c r="F1167" t="s">
        <v>14</v>
      </c>
      <c r="G1167">
        <v>5227.9887500000004</v>
      </c>
      <c r="H1167" t="str">
        <f t="shared" si="54"/>
        <v>30-39</v>
      </c>
      <c r="I1167" t="str">
        <f t="shared" si="55"/>
        <v>Overweight</v>
      </c>
      <c r="J1167" t="str">
        <f t="shared" si="56"/>
        <v>No</v>
      </c>
    </row>
    <row r="1168" spans="1:10" x14ac:dyDescent="0.25">
      <c r="A1168">
        <v>57</v>
      </c>
      <c r="B1168" t="s">
        <v>10</v>
      </c>
      <c r="C1168">
        <v>40.369999999999997</v>
      </c>
      <c r="D1168">
        <v>0</v>
      </c>
      <c r="E1168" t="s">
        <v>11</v>
      </c>
      <c r="F1168" t="s">
        <v>12</v>
      </c>
      <c r="G1168">
        <v>10982.5013</v>
      </c>
      <c r="H1168" t="str">
        <f t="shared" si="54"/>
        <v>50-59</v>
      </c>
      <c r="I1168" t="str">
        <f t="shared" si="55"/>
        <v>Obese</v>
      </c>
      <c r="J1168" t="str">
        <f t="shared" si="56"/>
        <v>No</v>
      </c>
    </row>
    <row r="1169" spans="1:10" x14ac:dyDescent="0.25">
      <c r="A1169">
        <v>29</v>
      </c>
      <c r="B1169" t="s">
        <v>7</v>
      </c>
      <c r="C1169">
        <v>24.6</v>
      </c>
      <c r="D1169">
        <v>2</v>
      </c>
      <c r="E1169" t="s">
        <v>11</v>
      </c>
      <c r="F1169" t="s">
        <v>9</v>
      </c>
      <c r="G1169">
        <v>4529.4769999999999</v>
      </c>
      <c r="H1169" t="str">
        <f t="shared" si="54"/>
        <v>18-29</v>
      </c>
      <c r="I1169" t="str">
        <f t="shared" si="55"/>
        <v>Normal</v>
      </c>
      <c r="J1169" t="str">
        <f t="shared" si="56"/>
        <v>No</v>
      </c>
    </row>
    <row r="1170" spans="1:10" x14ac:dyDescent="0.25">
      <c r="A1170">
        <v>32</v>
      </c>
      <c r="B1170" t="s">
        <v>10</v>
      </c>
      <c r="C1170">
        <v>35.200000000000003</v>
      </c>
      <c r="D1170">
        <v>2</v>
      </c>
      <c r="E1170" t="s">
        <v>11</v>
      </c>
      <c r="F1170" t="s">
        <v>9</v>
      </c>
      <c r="G1170">
        <v>4670.6400000000003</v>
      </c>
      <c r="H1170" t="str">
        <f t="shared" si="54"/>
        <v>30-39</v>
      </c>
      <c r="I1170" t="str">
        <f t="shared" si="55"/>
        <v>Obese</v>
      </c>
      <c r="J1170" t="str">
        <f t="shared" si="56"/>
        <v>No</v>
      </c>
    </row>
    <row r="1171" spans="1:10" x14ac:dyDescent="0.25">
      <c r="A1171">
        <v>37</v>
      </c>
      <c r="B1171" t="s">
        <v>7</v>
      </c>
      <c r="C1171">
        <v>34.104999999999997</v>
      </c>
      <c r="D1171">
        <v>1</v>
      </c>
      <c r="E1171" t="s">
        <v>11</v>
      </c>
      <c r="F1171" t="s">
        <v>13</v>
      </c>
      <c r="G1171">
        <v>6112.3529500000004</v>
      </c>
      <c r="H1171" t="str">
        <f t="shared" si="54"/>
        <v>30-39</v>
      </c>
      <c r="I1171" t="str">
        <f t="shared" si="55"/>
        <v>Obese</v>
      </c>
      <c r="J1171" t="str">
        <f t="shared" si="56"/>
        <v>No</v>
      </c>
    </row>
    <row r="1172" spans="1:10" x14ac:dyDescent="0.25">
      <c r="A1172">
        <v>18</v>
      </c>
      <c r="B1172" t="s">
        <v>10</v>
      </c>
      <c r="C1172">
        <v>27.36</v>
      </c>
      <c r="D1172">
        <v>1</v>
      </c>
      <c r="E1172" t="s">
        <v>8</v>
      </c>
      <c r="F1172" t="s">
        <v>14</v>
      </c>
      <c r="G1172">
        <v>17178.682400000002</v>
      </c>
      <c r="H1172" t="str">
        <f t="shared" si="54"/>
        <v>18-29</v>
      </c>
      <c r="I1172" t="str">
        <f t="shared" si="55"/>
        <v>Overweight</v>
      </c>
      <c r="J1172" t="str">
        <f t="shared" si="56"/>
        <v>No</v>
      </c>
    </row>
    <row r="1173" spans="1:10" x14ac:dyDescent="0.25">
      <c r="A1173">
        <v>43</v>
      </c>
      <c r="B1173" t="s">
        <v>7</v>
      </c>
      <c r="C1173">
        <v>26.7</v>
      </c>
      <c r="D1173">
        <v>2</v>
      </c>
      <c r="E1173" t="s">
        <v>8</v>
      </c>
      <c r="F1173" t="s">
        <v>9</v>
      </c>
      <c r="G1173">
        <v>22478.6</v>
      </c>
      <c r="H1173" t="str">
        <f t="shared" si="54"/>
        <v>40-49</v>
      </c>
      <c r="I1173" t="str">
        <f t="shared" si="55"/>
        <v>Overweight</v>
      </c>
      <c r="J1173" t="str">
        <f t="shared" si="56"/>
        <v>Yes</v>
      </c>
    </row>
    <row r="1174" spans="1:10" x14ac:dyDescent="0.25">
      <c r="A1174">
        <v>56</v>
      </c>
      <c r="B1174" t="s">
        <v>7</v>
      </c>
      <c r="C1174">
        <v>41.91</v>
      </c>
      <c r="D1174">
        <v>0</v>
      </c>
      <c r="E1174" t="s">
        <v>11</v>
      </c>
      <c r="F1174" t="s">
        <v>12</v>
      </c>
      <c r="G1174">
        <v>11093.6229</v>
      </c>
      <c r="H1174" t="str">
        <f t="shared" si="54"/>
        <v>50-59</v>
      </c>
      <c r="I1174" t="str">
        <f t="shared" si="55"/>
        <v>Obese</v>
      </c>
      <c r="J1174" t="str">
        <f t="shared" si="56"/>
        <v>No</v>
      </c>
    </row>
    <row r="1175" spans="1:10" x14ac:dyDescent="0.25">
      <c r="A1175">
        <v>38</v>
      </c>
      <c r="B1175" t="s">
        <v>10</v>
      </c>
      <c r="C1175">
        <v>29.26</v>
      </c>
      <c r="D1175">
        <v>2</v>
      </c>
      <c r="E1175" t="s">
        <v>11</v>
      </c>
      <c r="F1175" t="s">
        <v>13</v>
      </c>
      <c r="G1175">
        <v>6457.8433999999997</v>
      </c>
      <c r="H1175" t="str">
        <f t="shared" si="54"/>
        <v>30-39</v>
      </c>
      <c r="I1175" t="str">
        <f t="shared" si="55"/>
        <v>Overweight</v>
      </c>
      <c r="J1175" t="str">
        <f t="shared" si="56"/>
        <v>No</v>
      </c>
    </row>
    <row r="1176" spans="1:10" x14ac:dyDescent="0.25">
      <c r="A1176">
        <v>29</v>
      </c>
      <c r="B1176" t="s">
        <v>10</v>
      </c>
      <c r="C1176">
        <v>32.11</v>
      </c>
      <c r="D1176">
        <v>2</v>
      </c>
      <c r="E1176" t="s">
        <v>11</v>
      </c>
      <c r="F1176" t="s">
        <v>13</v>
      </c>
      <c r="G1176">
        <v>4433.9159</v>
      </c>
      <c r="H1176" t="str">
        <f t="shared" si="54"/>
        <v>18-29</v>
      </c>
      <c r="I1176" t="str">
        <f t="shared" si="55"/>
        <v>Obese</v>
      </c>
      <c r="J1176" t="str">
        <f t="shared" si="56"/>
        <v>No</v>
      </c>
    </row>
    <row r="1177" spans="1:10" x14ac:dyDescent="0.25">
      <c r="A1177">
        <v>22</v>
      </c>
      <c r="B1177" t="s">
        <v>7</v>
      </c>
      <c r="C1177">
        <v>27.1</v>
      </c>
      <c r="D1177">
        <v>0</v>
      </c>
      <c r="E1177" t="s">
        <v>11</v>
      </c>
      <c r="F1177" t="s">
        <v>9</v>
      </c>
      <c r="G1177">
        <v>2154.3609999999999</v>
      </c>
      <c r="H1177" t="str">
        <f t="shared" si="54"/>
        <v>18-29</v>
      </c>
      <c r="I1177" t="str">
        <f t="shared" si="55"/>
        <v>Overweight</v>
      </c>
      <c r="J1177" t="str">
        <f t="shared" si="56"/>
        <v>No</v>
      </c>
    </row>
    <row r="1178" spans="1:10" x14ac:dyDescent="0.25">
      <c r="A1178">
        <v>52</v>
      </c>
      <c r="B1178" t="s">
        <v>7</v>
      </c>
      <c r="C1178">
        <v>24.13</v>
      </c>
      <c r="D1178">
        <v>1</v>
      </c>
      <c r="E1178" t="s">
        <v>8</v>
      </c>
      <c r="F1178" t="s">
        <v>13</v>
      </c>
      <c r="G1178">
        <v>23887.662700000001</v>
      </c>
      <c r="H1178" t="str">
        <f t="shared" si="54"/>
        <v>50-59</v>
      </c>
      <c r="I1178" t="str">
        <f t="shared" si="55"/>
        <v>Normal</v>
      </c>
      <c r="J1178" t="str">
        <f t="shared" si="56"/>
        <v>Yes</v>
      </c>
    </row>
    <row r="1179" spans="1:10" x14ac:dyDescent="0.25">
      <c r="A1179">
        <v>40</v>
      </c>
      <c r="B1179" t="s">
        <v>7</v>
      </c>
      <c r="C1179">
        <v>27.4</v>
      </c>
      <c r="D1179">
        <v>1</v>
      </c>
      <c r="E1179" t="s">
        <v>11</v>
      </c>
      <c r="F1179" t="s">
        <v>9</v>
      </c>
      <c r="G1179">
        <v>6496.8860000000004</v>
      </c>
      <c r="H1179" t="str">
        <f t="shared" si="54"/>
        <v>40-49</v>
      </c>
      <c r="I1179" t="str">
        <f t="shared" si="55"/>
        <v>Overweight</v>
      </c>
      <c r="J1179" t="str">
        <f t="shared" si="56"/>
        <v>No</v>
      </c>
    </row>
    <row r="1180" spans="1:10" x14ac:dyDescent="0.25">
      <c r="A1180">
        <v>23</v>
      </c>
      <c r="B1180" t="s">
        <v>7</v>
      </c>
      <c r="C1180">
        <v>34.865000000000002</v>
      </c>
      <c r="D1180">
        <v>0</v>
      </c>
      <c r="E1180" t="s">
        <v>11</v>
      </c>
      <c r="F1180" t="s">
        <v>14</v>
      </c>
      <c r="G1180">
        <v>2899.4893499999998</v>
      </c>
      <c r="H1180" t="str">
        <f t="shared" si="54"/>
        <v>18-29</v>
      </c>
      <c r="I1180" t="str">
        <f t="shared" si="55"/>
        <v>Obese</v>
      </c>
      <c r="J1180" t="str">
        <f t="shared" si="56"/>
        <v>No</v>
      </c>
    </row>
    <row r="1181" spans="1:10" x14ac:dyDescent="0.25">
      <c r="A1181">
        <v>31</v>
      </c>
      <c r="B1181" t="s">
        <v>10</v>
      </c>
      <c r="C1181">
        <v>29.81</v>
      </c>
      <c r="D1181">
        <v>0</v>
      </c>
      <c r="E1181" t="s">
        <v>8</v>
      </c>
      <c r="F1181" t="s">
        <v>12</v>
      </c>
      <c r="G1181">
        <v>19350.368900000001</v>
      </c>
      <c r="H1181" t="str">
        <f t="shared" si="54"/>
        <v>30-39</v>
      </c>
      <c r="I1181" t="str">
        <f t="shared" si="55"/>
        <v>Overweight</v>
      </c>
      <c r="J1181" t="str">
        <f t="shared" si="56"/>
        <v>No</v>
      </c>
    </row>
    <row r="1182" spans="1:10" x14ac:dyDescent="0.25">
      <c r="A1182">
        <v>42</v>
      </c>
      <c r="B1182" t="s">
        <v>7</v>
      </c>
      <c r="C1182">
        <v>41.325000000000003</v>
      </c>
      <c r="D1182">
        <v>1</v>
      </c>
      <c r="E1182" t="s">
        <v>11</v>
      </c>
      <c r="F1182" t="s">
        <v>14</v>
      </c>
      <c r="G1182">
        <v>7650.7737500000003</v>
      </c>
      <c r="H1182" t="str">
        <f t="shared" si="54"/>
        <v>40-49</v>
      </c>
      <c r="I1182" t="str">
        <f t="shared" si="55"/>
        <v>Obese</v>
      </c>
      <c r="J1182" t="str">
        <f t="shared" si="56"/>
        <v>No</v>
      </c>
    </row>
    <row r="1183" spans="1:10" x14ac:dyDescent="0.25">
      <c r="A1183">
        <v>24</v>
      </c>
      <c r="B1183" t="s">
        <v>7</v>
      </c>
      <c r="C1183">
        <v>29.925000000000001</v>
      </c>
      <c r="D1183">
        <v>0</v>
      </c>
      <c r="E1183" t="s">
        <v>11</v>
      </c>
      <c r="F1183" t="s">
        <v>13</v>
      </c>
      <c r="G1183">
        <v>2850.6837500000001</v>
      </c>
      <c r="H1183" t="str">
        <f t="shared" si="54"/>
        <v>18-29</v>
      </c>
      <c r="I1183" t="str">
        <f t="shared" si="55"/>
        <v>Overweight</v>
      </c>
      <c r="J1183" t="str">
        <f t="shared" si="56"/>
        <v>No</v>
      </c>
    </row>
    <row r="1184" spans="1:10" x14ac:dyDescent="0.25">
      <c r="A1184">
        <v>25</v>
      </c>
      <c r="B1184" t="s">
        <v>7</v>
      </c>
      <c r="C1184">
        <v>30.3</v>
      </c>
      <c r="D1184">
        <v>0</v>
      </c>
      <c r="E1184" t="s">
        <v>11</v>
      </c>
      <c r="F1184" t="s">
        <v>9</v>
      </c>
      <c r="G1184">
        <v>2632.9920000000002</v>
      </c>
      <c r="H1184" t="str">
        <f t="shared" si="54"/>
        <v>18-29</v>
      </c>
      <c r="I1184" t="str">
        <f t="shared" si="55"/>
        <v>Obese</v>
      </c>
      <c r="J1184" t="str">
        <f t="shared" si="56"/>
        <v>No</v>
      </c>
    </row>
    <row r="1185" spans="1:10" x14ac:dyDescent="0.25">
      <c r="A1185">
        <v>48</v>
      </c>
      <c r="B1185" t="s">
        <v>7</v>
      </c>
      <c r="C1185">
        <v>27.36</v>
      </c>
      <c r="D1185">
        <v>1</v>
      </c>
      <c r="E1185" t="s">
        <v>11</v>
      </c>
      <c r="F1185" t="s">
        <v>14</v>
      </c>
      <c r="G1185">
        <v>9447.3824000000004</v>
      </c>
      <c r="H1185" t="str">
        <f t="shared" si="54"/>
        <v>40-49</v>
      </c>
      <c r="I1185" t="str">
        <f t="shared" si="55"/>
        <v>Overweight</v>
      </c>
      <c r="J1185" t="str">
        <f t="shared" si="56"/>
        <v>No</v>
      </c>
    </row>
    <row r="1186" spans="1:10" x14ac:dyDescent="0.25">
      <c r="A1186">
        <v>23</v>
      </c>
      <c r="B1186" t="s">
        <v>7</v>
      </c>
      <c r="C1186">
        <v>28.49</v>
      </c>
      <c r="D1186">
        <v>1</v>
      </c>
      <c r="E1186" t="s">
        <v>8</v>
      </c>
      <c r="F1186" t="s">
        <v>12</v>
      </c>
      <c r="G1186">
        <v>18328.238099999999</v>
      </c>
      <c r="H1186" t="str">
        <f t="shared" si="54"/>
        <v>18-29</v>
      </c>
      <c r="I1186" t="str">
        <f t="shared" si="55"/>
        <v>Overweight</v>
      </c>
      <c r="J1186" t="str">
        <f t="shared" si="56"/>
        <v>No</v>
      </c>
    </row>
    <row r="1187" spans="1:10" x14ac:dyDescent="0.25">
      <c r="A1187">
        <v>45</v>
      </c>
      <c r="B1187" t="s">
        <v>10</v>
      </c>
      <c r="C1187">
        <v>23.56</v>
      </c>
      <c r="D1187">
        <v>2</v>
      </c>
      <c r="E1187" t="s">
        <v>11</v>
      </c>
      <c r="F1187" t="s">
        <v>14</v>
      </c>
      <c r="G1187">
        <v>8603.8233999999993</v>
      </c>
      <c r="H1187" t="str">
        <f t="shared" si="54"/>
        <v>40-49</v>
      </c>
      <c r="I1187" t="str">
        <f t="shared" si="55"/>
        <v>Normal</v>
      </c>
      <c r="J1187" t="str">
        <f t="shared" si="56"/>
        <v>No</v>
      </c>
    </row>
    <row r="1188" spans="1:10" x14ac:dyDescent="0.25">
      <c r="A1188">
        <v>20</v>
      </c>
      <c r="B1188" t="s">
        <v>10</v>
      </c>
      <c r="C1188">
        <v>35.625</v>
      </c>
      <c r="D1188">
        <v>3</v>
      </c>
      <c r="E1188" t="s">
        <v>8</v>
      </c>
      <c r="F1188" t="s">
        <v>13</v>
      </c>
      <c r="G1188">
        <v>37465.34375</v>
      </c>
      <c r="H1188" t="str">
        <f t="shared" si="54"/>
        <v>18-29</v>
      </c>
      <c r="I1188" t="str">
        <f t="shared" si="55"/>
        <v>Obese</v>
      </c>
      <c r="J1188" t="str">
        <f t="shared" si="56"/>
        <v>Yes</v>
      </c>
    </row>
    <row r="1189" spans="1:10" x14ac:dyDescent="0.25">
      <c r="A1189">
        <v>62</v>
      </c>
      <c r="B1189" t="s">
        <v>7</v>
      </c>
      <c r="C1189">
        <v>32.68</v>
      </c>
      <c r="D1189">
        <v>0</v>
      </c>
      <c r="E1189" t="s">
        <v>11</v>
      </c>
      <c r="F1189" t="s">
        <v>13</v>
      </c>
      <c r="G1189">
        <v>13844.797200000001</v>
      </c>
      <c r="H1189" t="str">
        <f t="shared" si="54"/>
        <v>60+</v>
      </c>
      <c r="I1189" t="str">
        <f t="shared" si="55"/>
        <v>Obese</v>
      </c>
      <c r="J1189" t="str">
        <f t="shared" si="56"/>
        <v>No</v>
      </c>
    </row>
    <row r="1190" spans="1:10" x14ac:dyDescent="0.25">
      <c r="A1190">
        <v>43</v>
      </c>
      <c r="B1190" t="s">
        <v>7</v>
      </c>
      <c r="C1190">
        <v>25.27</v>
      </c>
      <c r="D1190">
        <v>1</v>
      </c>
      <c r="E1190" t="s">
        <v>8</v>
      </c>
      <c r="F1190" t="s">
        <v>14</v>
      </c>
      <c r="G1190">
        <v>21771.3423</v>
      </c>
      <c r="H1190" t="str">
        <f t="shared" si="54"/>
        <v>40-49</v>
      </c>
      <c r="I1190" t="str">
        <f t="shared" si="55"/>
        <v>Overweight</v>
      </c>
      <c r="J1190" t="str">
        <f t="shared" si="56"/>
        <v>Yes</v>
      </c>
    </row>
    <row r="1191" spans="1:10" x14ac:dyDescent="0.25">
      <c r="A1191">
        <v>23</v>
      </c>
      <c r="B1191" t="s">
        <v>7</v>
      </c>
      <c r="C1191">
        <v>28</v>
      </c>
      <c r="D1191">
        <v>0</v>
      </c>
      <c r="E1191" t="s">
        <v>11</v>
      </c>
      <c r="F1191" t="s">
        <v>9</v>
      </c>
      <c r="G1191">
        <v>13126.677449999999</v>
      </c>
      <c r="H1191" t="str">
        <f t="shared" si="54"/>
        <v>18-29</v>
      </c>
      <c r="I1191" t="str">
        <f t="shared" si="55"/>
        <v>Overweight</v>
      </c>
      <c r="J1191" t="str">
        <f t="shared" si="56"/>
        <v>No</v>
      </c>
    </row>
    <row r="1192" spans="1:10" x14ac:dyDescent="0.25">
      <c r="A1192">
        <v>31</v>
      </c>
      <c r="B1192" t="s">
        <v>7</v>
      </c>
      <c r="C1192">
        <v>32.774999999999999</v>
      </c>
      <c r="D1192">
        <v>2</v>
      </c>
      <c r="E1192" t="s">
        <v>11</v>
      </c>
      <c r="F1192" t="s">
        <v>13</v>
      </c>
      <c r="G1192">
        <v>5327.4002499999997</v>
      </c>
      <c r="H1192" t="str">
        <f t="shared" si="54"/>
        <v>30-39</v>
      </c>
      <c r="I1192" t="str">
        <f t="shared" si="55"/>
        <v>Obese</v>
      </c>
      <c r="J1192" t="str">
        <f t="shared" si="56"/>
        <v>No</v>
      </c>
    </row>
    <row r="1193" spans="1:10" x14ac:dyDescent="0.25">
      <c r="A1193">
        <v>41</v>
      </c>
      <c r="B1193" t="s">
        <v>7</v>
      </c>
      <c r="C1193">
        <v>21.754999999999999</v>
      </c>
      <c r="D1193">
        <v>1</v>
      </c>
      <c r="E1193" t="s">
        <v>11</v>
      </c>
      <c r="F1193" t="s">
        <v>14</v>
      </c>
      <c r="G1193">
        <v>13725.47184</v>
      </c>
      <c r="H1193" t="str">
        <f t="shared" si="54"/>
        <v>40-49</v>
      </c>
      <c r="I1193" t="str">
        <f t="shared" si="55"/>
        <v>Normal</v>
      </c>
      <c r="J1193" t="str">
        <f t="shared" si="56"/>
        <v>No</v>
      </c>
    </row>
    <row r="1194" spans="1:10" x14ac:dyDescent="0.25">
      <c r="A1194">
        <v>58</v>
      </c>
      <c r="B1194" t="s">
        <v>7</v>
      </c>
      <c r="C1194">
        <v>32.395000000000003</v>
      </c>
      <c r="D1194">
        <v>1</v>
      </c>
      <c r="E1194" t="s">
        <v>11</v>
      </c>
      <c r="F1194" t="s">
        <v>14</v>
      </c>
      <c r="G1194">
        <v>13019.161050000001</v>
      </c>
      <c r="H1194" t="str">
        <f t="shared" si="54"/>
        <v>50-59</v>
      </c>
      <c r="I1194" t="str">
        <f t="shared" si="55"/>
        <v>Obese</v>
      </c>
      <c r="J1194" t="str">
        <f t="shared" si="56"/>
        <v>No</v>
      </c>
    </row>
    <row r="1195" spans="1:10" x14ac:dyDescent="0.25">
      <c r="A1195">
        <v>48</v>
      </c>
      <c r="B1195" t="s">
        <v>7</v>
      </c>
      <c r="C1195">
        <v>36.575000000000003</v>
      </c>
      <c r="D1195">
        <v>0</v>
      </c>
      <c r="E1195" t="s">
        <v>11</v>
      </c>
      <c r="F1195" t="s">
        <v>13</v>
      </c>
      <c r="G1195">
        <v>8671.1912499999999</v>
      </c>
      <c r="H1195" t="str">
        <f t="shared" si="54"/>
        <v>40-49</v>
      </c>
      <c r="I1195" t="str">
        <f t="shared" si="55"/>
        <v>Obese</v>
      </c>
      <c r="J1195" t="str">
        <f t="shared" si="56"/>
        <v>No</v>
      </c>
    </row>
    <row r="1196" spans="1:10" x14ac:dyDescent="0.25">
      <c r="A1196">
        <v>31</v>
      </c>
      <c r="B1196" t="s">
        <v>7</v>
      </c>
      <c r="C1196">
        <v>21.754999999999999</v>
      </c>
      <c r="D1196">
        <v>0</v>
      </c>
      <c r="E1196" t="s">
        <v>11</v>
      </c>
      <c r="F1196" t="s">
        <v>13</v>
      </c>
      <c r="G1196">
        <v>4134.0824499999999</v>
      </c>
      <c r="H1196" t="str">
        <f t="shared" si="54"/>
        <v>30-39</v>
      </c>
      <c r="I1196" t="str">
        <f t="shared" si="55"/>
        <v>Normal</v>
      </c>
      <c r="J1196" t="str">
        <f t="shared" si="56"/>
        <v>No</v>
      </c>
    </row>
    <row r="1197" spans="1:10" x14ac:dyDescent="0.25">
      <c r="A1197">
        <v>19</v>
      </c>
      <c r="B1197" t="s">
        <v>7</v>
      </c>
      <c r="C1197">
        <v>27.93</v>
      </c>
      <c r="D1197">
        <v>3</v>
      </c>
      <c r="E1197" t="s">
        <v>11</v>
      </c>
      <c r="F1197" t="s">
        <v>13</v>
      </c>
      <c r="G1197">
        <v>18838.703659999999</v>
      </c>
      <c r="H1197" t="str">
        <f t="shared" si="54"/>
        <v>18-29</v>
      </c>
      <c r="I1197" t="str">
        <f t="shared" si="55"/>
        <v>Overweight</v>
      </c>
      <c r="J1197" t="str">
        <f t="shared" si="56"/>
        <v>No</v>
      </c>
    </row>
    <row r="1198" spans="1:10" x14ac:dyDescent="0.25">
      <c r="A1198">
        <v>19</v>
      </c>
      <c r="B1198" t="s">
        <v>7</v>
      </c>
      <c r="C1198">
        <v>30.02</v>
      </c>
      <c r="D1198">
        <v>0</v>
      </c>
      <c r="E1198" t="s">
        <v>8</v>
      </c>
      <c r="F1198" t="s">
        <v>13</v>
      </c>
      <c r="G1198">
        <v>33307.550799999997</v>
      </c>
      <c r="H1198" t="str">
        <f t="shared" si="54"/>
        <v>18-29</v>
      </c>
      <c r="I1198" t="str">
        <f t="shared" si="55"/>
        <v>Obese</v>
      </c>
      <c r="J1198" t="str">
        <f t="shared" si="56"/>
        <v>Yes</v>
      </c>
    </row>
    <row r="1199" spans="1:10" x14ac:dyDescent="0.25">
      <c r="A1199">
        <v>41</v>
      </c>
      <c r="B1199" t="s">
        <v>10</v>
      </c>
      <c r="C1199">
        <v>33.549999999999997</v>
      </c>
      <c r="D1199">
        <v>0</v>
      </c>
      <c r="E1199" t="s">
        <v>11</v>
      </c>
      <c r="F1199" t="s">
        <v>12</v>
      </c>
      <c r="G1199">
        <v>5699.8374999999996</v>
      </c>
      <c r="H1199" t="str">
        <f t="shared" si="54"/>
        <v>40-49</v>
      </c>
      <c r="I1199" t="str">
        <f t="shared" si="55"/>
        <v>Obese</v>
      </c>
      <c r="J1199" t="str">
        <f t="shared" si="56"/>
        <v>No</v>
      </c>
    </row>
    <row r="1200" spans="1:10" x14ac:dyDescent="0.25">
      <c r="A1200">
        <v>40</v>
      </c>
      <c r="B1200" t="s">
        <v>10</v>
      </c>
      <c r="C1200">
        <v>29.355</v>
      </c>
      <c r="D1200">
        <v>1</v>
      </c>
      <c r="E1200" t="s">
        <v>11</v>
      </c>
      <c r="F1200" t="s">
        <v>13</v>
      </c>
      <c r="G1200">
        <v>6393.6034499999996</v>
      </c>
      <c r="H1200" t="str">
        <f t="shared" si="54"/>
        <v>40-49</v>
      </c>
      <c r="I1200" t="str">
        <f t="shared" si="55"/>
        <v>Overweight</v>
      </c>
      <c r="J1200" t="str">
        <f t="shared" si="56"/>
        <v>No</v>
      </c>
    </row>
    <row r="1201" spans="1:10" x14ac:dyDescent="0.25">
      <c r="A1201">
        <v>31</v>
      </c>
      <c r="B1201" t="s">
        <v>7</v>
      </c>
      <c r="C1201">
        <v>25.8</v>
      </c>
      <c r="D1201">
        <v>2</v>
      </c>
      <c r="E1201" t="s">
        <v>11</v>
      </c>
      <c r="F1201" t="s">
        <v>9</v>
      </c>
      <c r="G1201">
        <v>4934.7049999999999</v>
      </c>
      <c r="H1201" t="str">
        <f t="shared" si="54"/>
        <v>30-39</v>
      </c>
      <c r="I1201" t="str">
        <f t="shared" si="55"/>
        <v>Overweight</v>
      </c>
      <c r="J1201" t="str">
        <f t="shared" si="56"/>
        <v>No</v>
      </c>
    </row>
    <row r="1202" spans="1:10" x14ac:dyDescent="0.25">
      <c r="A1202">
        <v>37</v>
      </c>
      <c r="B1202" t="s">
        <v>10</v>
      </c>
      <c r="C1202">
        <v>24.32</v>
      </c>
      <c r="D1202">
        <v>2</v>
      </c>
      <c r="E1202" t="s">
        <v>11</v>
      </c>
      <c r="F1202" t="s">
        <v>13</v>
      </c>
      <c r="G1202">
        <v>6198.7518</v>
      </c>
      <c r="H1202" t="str">
        <f t="shared" si="54"/>
        <v>30-39</v>
      </c>
      <c r="I1202" t="str">
        <f t="shared" si="55"/>
        <v>Normal</v>
      </c>
      <c r="J1202" t="str">
        <f t="shared" si="56"/>
        <v>No</v>
      </c>
    </row>
    <row r="1203" spans="1:10" x14ac:dyDescent="0.25">
      <c r="A1203">
        <v>46</v>
      </c>
      <c r="B1203" t="s">
        <v>10</v>
      </c>
      <c r="C1203">
        <v>40.375</v>
      </c>
      <c r="D1203">
        <v>2</v>
      </c>
      <c r="E1203" t="s">
        <v>11</v>
      </c>
      <c r="F1203" t="s">
        <v>13</v>
      </c>
      <c r="G1203">
        <v>8733.2292500000003</v>
      </c>
      <c r="H1203" t="str">
        <f t="shared" si="54"/>
        <v>40-49</v>
      </c>
      <c r="I1203" t="str">
        <f t="shared" si="55"/>
        <v>Obese</v>
      </c>
      <c r="J1203" t="str">
        <f t="shared" si="56"/>
        <v>No</v>
      </c>
    </row>
    <row r="1204" spans="1:10" x14ac:dyDescent="0.25">
      <c r="A1204">
        <v>22</v>
      </c>
      <c r="B1204" t="s">
        <v>10</v>
      </c>
      <c r="C1204">
        <v>32.11</v>
      </c>
      <c r="D1204">
        <v>0</v>
      </c>
      <c r="E1204" t="s">
        <v>11</v>
      </c>
      <c r="F1204" t="s">
        <v>13</v>
      </c>
      <c r="G1204">
        <v>2055.3249000000001</v>
      </c>
      <c r="H1204" t="str">
        <f t="shared" si="54"/>
        <v>18-29</v>
      </c>
      <c r="I1204" t="str">
        <f t="shared" si="55"/>
        <v>Obese</v>
      </c>
      <c r="J1204" t="str">
        <f t="shared" si="56"/>
        <v>No</v>
      </c>
    </row>
    <row r="1205" spans="1:10" x14ac:dyDescent="0.25">
      <c r="A1205">
        <v>51</v>
      </c>
      <c r="B1205" t="s">
        <v>10</v>
      </c>
      <c r="C1205">
        <v>32.299999999999997</v>
      </c>
      <c r="D1205">
        <v>1</v>
      </c>
      <c r="E1205" t="s">
        <v>11</v>
      </c>
      <c r="F1205" t="s">
        <v>14</v>
      </c>
      <c r="G1205">
        <v>9964.06</v>
      </c>
      <c r="H1205" t="str">
        <f t="shared" si="54"/>
        <v>50-59</v>
      </c>
      <c r="I1205" t="str">
        <f t="shared" si="55"/>
        <v>Obese</v>
      </c>
      <c r="J1205" t="str">
        <f t="shared" si="56"/>
        <v>No</v>
      </c>
    </row>
    <row r="1206" spans="1:10" x14ac:dyDescent="0.25">
      <c r="A1206">
        <v>18</v>
      </c>
      <c r="B1206" t="s">
        <v>7</v>
      </c>
      <c r="C1206">
        <v>27.28</v>
      </c>
      <c r="D1206">
        <v>3</v>
      </c>
      <c r="E1206" t="s">
        <v>8</v>
      </c>
      <c r="F1206" t="s">
        <v>12</v>
      </c>
      <c r="G1206">
        <v>18223.4512</v>
      </c>
      <c r="H1206" t="str">
        <f t="shared" si="54"/>
        <v>18-29</v>
      </c>
      <c r="I1206" t="str">
        <f t="shared" si="55"/>
        <v>Overweight</v>
      </c>
      <c r="J1206" t="str">
        <f t="shared" si="56"/>
        <v>No</v>
      </c>
    </row>
    <row r="1207" spans="1:10" x14ac:dyDescent="0.25">
      <c r="A1207">
        <v>35</v>
      </c>
      <c r="B1207" t="s">
        <v>10</v>
      </c>
      <c r="C1207">
        <v>17.86</v>
      </c>
      <c r="D1207">
        <v>1</v>
      </c>
      <c r="E1207" t="s">
        <v>11</v>
      </c>
      <c r="F1207" t="s">
        <v>13</v>
      </c>
      <c r="G1207">
        <v>5116.5003999999999</v>
      </c>
      <c r="H1207" t="str">
        <f t="shared" si="54"/>
        <v>30-39</v>
      </c>
      <c r="I1207" t="str">
        <f t="shared" si="55"/>
        <v>Underweight</v>
      </c>
      <c r="J1207" t="str">
        <f t="shared" si="56"/>
        <v>No</v>
      </c>
    </row>
    <row r="1208" spans="1:10" x14ac:dyDescent="0.25">
      <c r="A1208">
        <v>59</v>
      </c>
      <c r="B1208" t="s">
        <v>7</v>
      </c>
      <c r="C1208">
        <v>34.799999999999997</v>
      </c>
      <c r="D1208">
        <v>2</v>
      </c>
      <c r="E1208" t="s">
        <v>11</v>
      </c>
      <c r="F1208" t="s">
        <v>9</v>
      </c>
      <c r="G1208">
        <v>36910.608030000003</v>
      </c>
      <c r="H1208" t="str">
        <f t="shared" si="54"/>
        <v>50-59</v>
      </c>
      <c r="I1208" t="str">
        <f t="shared" si="55"/>
        <v>Obese</v>
      </c>
      <c r="J1208" t="str">
        <f t="shared" si="56"/>
        <v>Yes</v>
      </c>
    </row>
    <row r="1209" spans="1:10" x14ac:dyDescent="0.25">
      <c r="A1209">
        <v>36</v>
      </c>
      <c r="B1209" t="s">
        <v>10</v>
      </c>
      <c r="C1209">
        <v>33.4</v>
      </c>
      <c r="D1209">
        <v>2</v>
      </c>
      <c r="E1209" t="s">
        <v>8</v>
      </c>
      <c r="F1209" t="s">
        <v>9</v>
      </c>
      <c r="G1209">
        <v>38415.474000000002</v>
      </c>
      <c r="H1209" t="str">
        <f t="shared" si="54"/>
        <v>30-39</v>
      </c>
      <c r="I1209" t="str">
        <f t="shared" si="55"/>
        <v>Obese</v>
      </c>
      <c r="J1209" t="str">
        <f t="shared" si="56"/>
        <v>Yes</v>
      </c>
    </row>
    <row r="1210" spans="1:10" x14ac:dyDescent="0.25">
      <c r="A1210">
        <v>37</v>
      </c>
      <c r="B1210" t="s">
        <v>7</v>
      </c>
      <c r="C1210">
        <v>25.555</v>
      </c>
      <c r="D1210">
        <v>1</v>
      </c>
      <c r="E1210" t="s">
        <v>8</v>
      </c>
      <c r="F1210" t="s">
        <v>14</v>
      </c>
      <c r="G1210">
        <v>20296.863450000001</v>
      </c>
      <c r="H1210" t="str">
        <f t="shared" si="54"/>
        <v>30-39</v>
      </c>
      <c r="I1210" t="str">
        <f t="shared" si="55"/>
        <v>Overweight</v>
      </c>
      <c r="J1210" t="str">
        <f t="shared" si="56"/>
        <v>Yes</v>
      </c>
    </row>
    <row r="1211" spans="1:10" x14ac:dyDescent="0.25">
      <c r="A1211">
        <v>59</v>
      </c>
      <c r="B1211" t="s">
        <v>10</v>
      </c>
      <c r="C1211">
        <v>37.1</v>
      </c>
      <c r="D1211">
        <v>1</v>
      </c>
      <c r="E1211" t="s">
        <v>11</v>
      </c>
      <c r="F1211" t="s">
        <v>9</v>
      </c>
      <c r="G1211">
        <v>12347.172</v>
      </c>
      <c r="H1211" t="str">
        <f t="shared" si="54"/>
        <v>50-59</v>
      </c>
      <c r="I1211" t="str">
        <f t="shared" si="55"/>
        <v>Obese</v>
      </c>
      <c r="J1211" t="str">
        <f t="shared" si="56"/>
        <v>No</v>
      </c>
    </row>
    <row r="1212" spans="1:10" x14ac:dyDescent="0.25">
      <c r="A1212">
        <v>36</v>
      </c>
      <c r="B1212" t="s">
        <v>10</v>
      </c>
      <c r="C1212">
        <v>30.875</v>
      </c>
      <c r="D1212">
        <v>1</v>
      </c>
      <c r="E1212" t="s">
        <v>11</v>
      </c>
      <c r="F1212" t="s">
        <v>13</v>
      </c>
      <c r="G1212">
        <v>5373.3642499999996</v>
      </c>
      <c r="H1212" t="str">
        <f t="shared" si="54"/>
        <v>30-39</v>
      </c>
      <c r="I1212" t="str">
        <f t="shared" si="55"/>
        <v>Obese</v>
      </c>
      <c r="J1212" t="str">
        <f t="shared" si="56"/>
        <v>No</v>
      </c>
    </row>
    <row r="1213" spans="1:10" x14ac:dyDescent="0.25">
      <c r="A1213">
        <v>39</v>
      </c>
      <c r="B1213" t="s">
        <v>10</v>
      </c>
      <c r="C1213">
        <v>34.1</v>
      </c>
      <c r="D1213">
        <v>2</v>
      </c>
      <c r="E1213" t="s">
        <v>11</v>
      </c>
      <c r="F1213" t="s">
        <v>12</v>
      </c>
      <c r="G1213">
        <v>23563.016179999999</v>
      </c>
      <c r="H1213" t="str">
        <f t="shared" si="54"/>
        <v>30-39</v>
      </c>
      <c r="I1213" t="str">
        <f t="shared" si="55"/>
        <v>Obese</v>
      </c>
      <c r="J1213" t="str">
        <f t="shared" si="56"/>
        <v>Yes</v>
      </c>
    </row>
    <row r="1214" spans="1:10" x14ac:dyDescent="0.25">
      <c r="A1214">
        <v>18</v>
      </c>
      <c r="B1214" t="s">
        <v>10</v>
      </c>
      <c r="C1214">
        <v>21.47</v>
      </c>
      <c r="D1214">
        <v>0</v>
      </c>
      <c r="E1214" t="s">
        <v>11</v>
      </c>
      <c r="F1214" t="s">
        <v>14</v>
      </c>
      <c r="G1214">
        <v>1702.4553000000001</v>
      </c>
      <c r="H1214" t="str">
        <f t="shared" si="54"/>
        <v>18-29</v>
      </c>
      <c r="I1214" t="str">
        <f t="shared" si="55"/>
        <v>Normal</v>
      </c>
      <c r="J1214" t="str">
        <f t="shared" si="56"/>
        <v>No</v>
      </c>
    </row>
    <row r="1215" spans="1:10" x14ac:dyDescent="0.25">
      <c r="A1215">
        <v>52</v>
      </c>
      <c r="B1215" t="s">
        <v>7</v>
      </c>
      <c r="C1215">
        <v>33.299999999999997</v>
      </c>
      <c r="D1215">
        <v>2</v>
      </c>
      <c r="E1215" t="s">
        <v>11</v>
      </c>
      <c r="F1215" t="s">
        <v>9</v>
      </c>
      <c r="G1215">
        <v>10806.839</v>
      </c>
      <c r="H1215" t="str">
        <f t="shared" si="54"/>
        <v>50-59</v>
      </c>
      <c r="I1215" t="str">
        <f t="shared" si="55"/>
        <v>Obese</v>
      </c>
      <c r="J1215" t="str">
        <f t="shared" si="56"/>
        <v>No</v>
      </c>
    </row>
    <row r="1216" spans="1:10" x14ac:dyDescent="0.25">
      <c r="A1216">
        <v>27</v>
      </c>
      <c r="B1216" t="s">
        <v>7</v>
      </c>
      <c r="C1216">
        <v>31.254999999999999</v>
      </c>
      <c r="D1216">
        <v>1</v>
      </c>
      <c r="E1216" t="s">
        <v>11</v>
      </c>
      <c r="F1216" t="s">
        <v>13</v>
      </c>
      <c r="G1216">
        <v>3956.0714499999999</v>
      </c>
      <c r="H1216" t="str">
        <f t="shared" si="54"/>
        <v>18-29</v>
      </c>
      <c r="I1216" t="str">
        <f t="shared" si="55"/>
        <v>Obese</v>
      </c>
      <c r="J1216" t="str">
        <f t="shared" si="56"/>
        <v>No</v>
      </c>
    </row>
    <row r="1217" spans="1:10" x14ac:dyDescent="0.25">
      <c r="A1217">
        <v>18</v>
      </c>
      <c r="B1217" t="s">
        <v>10</v>
      </c>
      <c r="C1217">
        <v>39.14</v>
      </c>
      <c r="D1217">
        <v>0</v>
      </c>
      <c r="E1217" t="s">
        <v>11</v>
      </c>
      <c r="F1217" t="s">
        <v>14</v>
      </c>
      <c r="G1217">
        <v>12890.057650000001</v>
      </c>
      <c r="H1217" t="str">
        <f t="shared" si="54"/>
        <v>18-29</v>
      </c>
      <c r="I1217" t="str">
        <f t="shared" si="55"/>
        <v>Obese</v>
      </c>
      <c r="J1217" t="str">
        <f t="shared" si="56"/>
        <v>No</v>
      </c>
    </row>
    <row r="1218" spans="1:10" x14ac:dyDescent="0.25">
      <c r="A1218">
        <v>40</v>
      </c>
      <c r="B1218" t="s">
        <v>10</v>
      </c>
      <c r="C1218">
        <v>25.08</v>
      </c>
      <c r="D1218">
        <v>0</v>
      </c>
      <c r="E1218" t="s">
        <v>11</v>
      </c>
      <c r="F1218" t="s">
        <v>12</v>
      </c>
      <c r="G1218">
        <v>5415.6611999999996</v>
      </c>
      <c r="H1218" t="str">
        <f t="shared" ref="H1218:H1281" si="57">IF(A1218&lt;30, "18-29", IF(A1218&lt;40, "30-39", IF(A1218&lt;50, "40-49", IF(A1218&lt;60, "50-59", "60+"))))</f>
        <v>40-49</v>
      </c>
      <c r="I1218" t="str">
        <f t="shared" ref="I1218:I1281" si="58">IF(C1218&lt;18.5, "Underweight", IF(C1218&lt;25, "Normal", IF(C1218&lt;30,"Overweight","Obese")))</f>
        <v>Overweight</v>
      </c>
      <c r="J1218" t="str">
        <f t="shared" ref="J1218:J1281" si="59">IF(G1218&gt;20000,"Yes","No")</f>
        <v>No</v>
      </c>
    </row>
    <row r="1219" spans="1:10" x14ac:dyDescent="0.25">
      <c r="A1219">
        <v>29</v>
      </c>
      <c r="B1219" t="s">
        <v>10</v>
      </c>
      <c r="C1219">
        <v>37.29</v>
      </c>
      <c r="D1219">
        <v>2</v>
      </c>
      <c r="E1219" t="s">
        <v>11</v>
      </c>
      <c r="F1219" t="s">
        <v>12</v>
      </c>
      <c r="G1219">
        <v>4058.1161000000002</v>
      </c>
      <c r="H1219" t="str">
        <f t="shared" si="57"/>
        <v>18-29</v>
      </c>
      <c r="I1219" t="str">
        <f t="shared" si="58"/>
        <v>Obese</v>
      </c>
      <c r="J1219" t="str">
        <f t="shared" si="59"/>
        <v>No</v>
      </c>
    </row>
    <row r="1220" spans="1:10" x14ac:dyDescent="0.25">
      <c r="A1220">
        <v>46</v>
      </c>
      <c r="B1220" t="s">
        <v>7</v>
      </c>
      <c r="C1220">
        <v>34.6</v>
      </c>
      <c r="D1220">
        <v>1</v>
      </c>
      <c r="E1220" t="s">
        <v>8</v>
      </c>
      <c r="F1220" t="s">
        <v>9</v>
      </c>
      <c r="G1220">
        <v>41661.601999999999</v>
      </c>
      <c r="H1220" t="str">
        <f t="shared" si="57"/>
        <v>40-49</v>
      </c>
      <c r="I1220" t="str">
        <f t="shared" si="58"/>
        <v>Obese</v>
      </c>
      <c r="J1220" t="str">
        <f t="shared" si="59"/>
        <v>Yes</v>
      </c>
    </row>
    <row r="1221" spans="1:10" x14ac:dyDescent="0.25">
      <c r="A1221">
        <v>38</v>
      </c>
      <c r="B1221" t="s">
        <v>7</v>
      </c>
      <c r="C1221">
        <v>30.21</v>
      </c>
      <c r="D1221">
        <v>3</v>
      </c>
      <c r="E1221" t="s">
        <v>11</v>
      </c>
      <c r="F1221" t="s">
        <v>13</v>
      </c>
      <c r="G1221">
        <v>7537.1638999999996</v>
      </c>
      <c r="H1221" t="str">
        <f t="shared" si="57"/>
        <v>30-39</v>
      </c>
      <c r="I1221" t="str">
        <f t="shared" si="58"/>
        <v>Obese</v>
      </c>
      <c r="J1221" t="str">
        <f t="shared" si="59"/>
        <v>No</v>
      </c>
    </row>
    <row r="1222" spans="1:10" x14ac:dyDescent="0.25">
      <c r="A1222">
        <v>30</v>
      </c>
      <c r="B1222" t="s">
        <v>7</v>
      </c>
      <c r="C1222">
        <v>21.945</v>
      </c>
      <c r="D1222">
        <v>1</v>
      </c>
      <c r="E1222" t="s">
        <v>11</v>
      </c>
      <c r="F1222" t="s">
        <v>14</v>
      </c>
      <c r="G1222">
        <v>4718.2035500000002</v>
      </c>
      <c r="H1222" t="str">
        <f t="shared" si="57"/>
        <v>30-39</v>
      </c>
      <c r="I1222" t="str">
        <f t="shared" si="58"/>
        <v>Normal</v>
      </c>
      <c r="J1222" t="str">
        <f t="shared" si="59"/>
        <v>No</v>
      </c>
    </row>
    <row r="1223" spans="1:10" x14ac:dyDescent="0.25">
      <c r="A1223">
        <v>40</v>
      </c>
      <c r="B1223" t="s">
        <v>10</v>
      </c>
      <c r="C1223">
        <v>24.97</v>
      </c>
      <c r="D1223">
        <v>2</v>
      </c>
      <c r="E1223" t="s">
        <v>11</v>
      </c>
      <c r="F1223" t="s">
        <v>12</v>
      </c>
      <c r="G1223">
        <v>6593.5083000000004</v>
      </c>
      <c r="H1223" t="str">
        <f t="shared" si="57"/>
        <v>40-49</v>
      </c>
      <c r="I1223" t="str">
        <f t="shared" si="58"/>
        <v>Normal</v>
      </c>
      <c r="J1223" t="str">
        <f t="shared" si="59"/>
        <v>No</v>
      </c>
    </row>
    <row r="1224" spans="1:10" x14ac:dyDescent="0.25">
      <c r="A1224">
        <v>50</v>
      </c>
      <c r="B1224" t="s">
        <v>10</v>
      </c>
      <c r="C1224">
        <v>25.3</v>
      </c>
      <c r="D1224">
        <v>0</v>
      </c>
      <c r="E1224" t="s">
        <v>11</v>
      </c>
      <c r="F1224" t="s">
        <v>12</v>
      </c>
      <c r="G1224">
        <v>8442.6669999999995</v>
      </c>
      <c r="H1224" t="str">
        <f t="shared" si="57"/>
        <v>50-59</v>
      </c>
      <c r="I1224" t="str">
        <f t="shared" si="58"/>
        <v>Overweight</v>
      </c>
      <c r="J1224" t="str">
        <f t="shared" si="59"/>
        <v>No</v>
      </c>
    </row>
    <row r="1225" spans="1:10" x14ac:dyDescent="0.25">
      <c r="A1225">
        <v>20</v>
      </c>
      <c r="B1225" t="s">
        <v>7</v>
      </c>
      <c r="C1225">
        <v>24.42</v>
      </c>
      <c r="D1225">
        <v>0</v>
      </c>
      <c r="E1225" t="s">
        <v>8</v>
      </c>
      <c r="F1225" t="s">
        <v>12</v>
      </c>
      <c r="G1225">
        <v>26125.674770000001</v>
      </c>
      <c r="H1225" t="str">
        <f t="shared" si="57"/>
        <v>18-29</v>
      </c>
      <c r="I1225" t="str">
        <f t="shared" si="58"/>
        <v>Normal</v>
      </c>
      <c r="J1225" t="str">
        <f t="shared" si="59"/>
        <v>Yes</v>
      </c>
    </row>
    <row r="1226" spans="1:10" x14ac:dyDescent="0.25">
      <c r="A1226">
        <v>41</v>
      </c>
      <c r="B1226" t="s">
        <v>10</v>
      </c>
      <c r="C1226">
        <v>23.94</v>
      </c>
      <c r="D1226">
        <v>1</v>
      </c>
      <c r="E1226" t="s">
        <v>11</v>
      </c>
      <c r="F1226" t="s">
        <v>14</v>
      </c>
      <c r="G1226">
        <v>6858.4795999999997</v>
      </c>
      <c r="H1226" t="str">
        <f t="shared" si="57"/>
        <v>40-49</v>
      </c>
      <c r="I1226" t="str">
        <f t="shared" si="58"/>
        <v>Normal</v>
      </c>
      <c r="J1226" t="str">
        <f t="shared" si="59"/>
        <v>No</v>
      </c>
    </row>
    <row r="1227" spans="1:10" x14ac:dyDescent="0.25">
      <c r="A1227">
        <v>33</v>
      </c>
      <c r="B1227" t="s">
        <v>7</v>
      </c>
      <c r="C1227">
        <v>39.82</v>
      </c>
      <c r="D1227">
        <v>1</v>
      </c>
      <c r="E1227" t="s">
        <v>11</v>
      </c>
      <c r="F1227" t="s">
        <v>12</v>
      </c>
      <c r="G1227">
        <v>4795.6567999999997</v>
      </c>
      <c r="H1227" t="str">
        <f t="shared" si="57"/>
        <v>30-39</v>
      </c>
      <c r="I1227" t="str">
        <f t="shared" si="58"/>
        <v>Obese</v>
      </c>
      <c r="J1227" t="str">
        <f t="shared" si="59"/>
        <v>No</v>
      </c>
    </row>
    <row r="1228" spans="1:10" x14ac:dyDescent="0.25">
      <c r="A1228">
        <v>38</v>
      </c>
      <c r="B1228" t="s">
        <v>10</v>
      </c>
      <c r="C1228">
        <v>16.815000000000001</v>
      </c>
      <c r="D1228">
        <v>2</v>
      </c>
      <c r="E1228" t="s">
        <v>11</v>
      </c>
      <c r="F1228" t="s">
        <v>14</v>
      </c>
      <c r="G1228">
        <v>6640.5448500000002</v>
      </c>
      <c r="H1228" t="str">
        <f t="shared" si="57"/>
        <v>30-39</v>
      </c>
      <c r="I1228" t="str">
        <f t="shared" si="58"/>
        <v>Underweight</v>
      </c>
      <c r="J1228" t="str">
        <f t="shared" si="59"/>
        <v>No</v>
      </c>
    </row>
    <row r="1229" spans="1:10" x14ac:dyDescent="0.25">
      <c r="A1229">
        <v>42</v>
      </c>
      <c r="B1229" t="s">
        <v>10</v>
      </c>
      <c r="C1229">
        <v>37.18</v>
      </c>
      <c r="D1229">
        <v>2</v>
      </c>
      <c r="E1229" t="s">
        <v>11</v>
      </c>
      <c r="F1229" t="s">
        <v>12</v>
      </c>
      <c r="G1229">
        <v>7162.0122000000001</v>
      </c>
      <c r="H1229" t="str">
        <f t="shared" si="57"/>
        <v>40-49</v>
      </c>
      <c r="I1229" t="str">
        <f t="shared" si="58"/>
        <v>Obese</v>
      </c>
      <c r="J1229" t="str">
        <f t="shared" si="59"/>
        <v>No</v>
      </c>
    </row>
    <row r="1230" spans="1:10" x14ac:dyDescent="0.25">
      <c r="A1230">
        <v>56</v>
      </c>
      <c r="B1230" t="s">
        <v>10</v>
      </c>
      <c r="C1230">
        <v>34.43</v>
      </c>
      <c r="D1230">
        <v>0</v>
      </c>
      <c r="E1230" t="s">
        <v>11</v>
      </c>
      <c r="F1230" t="s">
        <v>12</v>
      </c>
      <c r="G1230">
        <v>10594.225700000001</v>
      </c>
      <c r="H1230" t="str">
        <f t="shared" si="57"/>
        <v>50-59</v>
      </c>
      <c r="I1230" t="str">
        <f t="shared" si="58"/>
        <v>Obese</v>
      </c>
      <c r="J1230" t="str">
        <f t="shared" si="59"/>
        <v>No</v>
      </c>
    </row>
    <row r="1231" spans="1:10" x14ac:dyDescent="0.25">
      <c r="A1231">
        <v>58</v>
      </c>
      <c r="B1231" t="s">
        <v>10</v>
      </c>
      <c r="C1231">
        <v>30.305</v>
      </c>
      <c r="D1231">
        <v>0</v>
      </c>
      <c r="E1231" t="s">
        <v>11</v>
      </c>
      <c r="F1231" t="s">
        <v>14</v>
      </c>
      <c r="G1231">
        <v>11938.255950000001</v>
      </c>
      <c r="H1231" t="str">
        <f t="shared" si="57"/>
        <v>50-59</v>
      </c>
      <c r="I1231" t="str">
        <f t="shared" si="58"/>
        <v>Obese</v>
      </c>
      <c r="J1231" t="str">
        <f t="shared" si="59"/>
        <v>No</v>
      </c>
    </row>
    <row r="1232" spans="1:10" x14ac:dyDescent="0.25">
      <c r="A1232">
        <v>52</v>
      </c>
      <c r="B1232" t="s">
        <v>10</v>
      </c>
      <c r="C1232">
        <v>34.484999999999999</v>
      </c>
      <c r="D1232">
        <v>3</v>
      </c>
      <c r="E1232" t="s">
        <v>8</v>
      </c>
      <c r="F1232" t="s">
        <v>13</v>
      </c>
      <c r="G1232">
        <v>60021.398970000002</v>
      </c>
      <c r="H1232" t="str">
        <f t="shared" si="57"/>
        <v>50-59</v>
      </c>
      <c r="I1232" t="str">
        <f t="shared" si="58"/>
        <v>Obese</v>
      </c>
      <c r="J1232" t="str">
        <f t="shared" si="59"/>
        <v>Yes</v>
      </c>
    </row>
    <row r="1233" spans="1:10" x14ac:dyDescent="0.25">
      <c r="A1233">
        <v>20</v>
      </c>
      <c r="B1233" t="s">
        <v>7</v>
      </c>
      <c r="C1233">
        <v>21.8</v>
      </c>
      <c r="D1233">
        <v>0</v>
      </c>
      <c r="E1233" t="s">
        <v>8</v>
      </c>
      <c r="F1233" t="s">
        <v>9</v>
      </c>
      <c r="G1233">
        <v>20167.336029999999</v>
      </c>
      <c r="H1233" t="str">
        <f t="shared" si="57"/>
        <v>18-29</v>
      </c>
      <c r="I1233" t="str">
        <f t="shared" si="58"/>
        <v>Normal</v>
      </c>
      <c r="J1233" t="str">
        <f t="shared" si="59"/>
        <v>Yes</v>
      </c>
    </row>
    <row r="1234" spans="1:10" x14ac:dyDescent="0.25">
      <c r="A1234">
        <v>54</v>
      </c>
      <c r="B1234" t="s">
        <v>7</v>
      </c>
      <c r="C1234">
        <v>24.605</v>
      </c>
      <c r="D1234">
        <v>3</v>
      </c>
      <c r="E1234" t="s">
        <v>11</v>
      </c>
      <c r="F1234" t="s">
        <v>13</v>
      </c>
      <c r="G1234">
        <v>12479.70895</v>
      </c>
      <c r="H1234" t="str">
        <f t="shared" si="57"/>
        <v>50-59</v>
      </c>
      <c r="I1234" t="str">
        <f t="shared" si="58"/>
        <v>Normal</v>
      </c>
      <c r="J1234" t="str">
        <f t="shared" si="59"/>
        <v>No</v>
      </c>
    </row>
    <row r="1235" spans="1:10" x14ac:dyDescent="0.25">
      <c r="A1235">
        <v>58</v>
      </c>
      <c r="B1235" t="s">
        <v>10</v>
      </c>
      <c r="C1235">
        <v>23.3</v>
      </c>
      <c r="D1235">
        <v>0</v>
      </c>
      <c r="E1235" t="s">
        <v>11</v>
      </c>
      <c r="F1235" t="s">
        <v>9</v>
      </c>
      <c r="G1235">
        <v>11345.519</v>
      </c>
      <c r="H1235" t="str">
        <f t="shared" si="57"/>
        <v>50-59</v>
      </c>
      <c r="I1235" t="str">
        <f t="shared" si="58"/>
        <v>Normal</v>
      </c>
      <c r="J1235" t="str">
        <f t="shared" si="59"/>
        <v>No</v>
      </c>
    </row>
    <row r="1236" spans="1:10" x14ac:dyDescent="0.25">
      <c r="A1236">
        <v>45</v>
      </c>
      <c r="B1236" t="s">
        <v>7</v>
      </c>
      <c r="C1236">
        <v>27.83</v>
      </c>
      <c r="D1236">
        <v>2</v>
      </c>
      <c r="E1236" t="s">
        <v>11</v>
      </c>
      <c r="F1236" t="s">
        <v>12</v>
      </c>
      <c r="G1236">
        <v>8515.7587000000003</v>
      </c>
      <c r="H1236" t="str">
        <f t="shared" si="57"/>
        <v>40-49</v>
      </c>
      <c r="I1236" t="str">
        <f t="shared" si="58"/>
        <v>Overweight</v>
      </c>
      <c r="J1236" t="str">
        <f t="shared" si="59"/>
        <v>No</v>
      </c>
    </row>
    <row r="1237" spans="1:10" x14ac:dyDescent="0.25">
      <c r="A1237">
        <v>26</v>
      </c>
      <c r="B1237" t="s">
        <v>10</v>
      </c>
      <c r="C1237">
        <v>31.065000000000001</v>
      </c>
      <c r="D1237">
        <v>0</v>
      </c>
      <c r="E1237" t="s">
        <v>11</v>
      </c>
      <c r="F1237" t="s">
        <v>13</v>
      </c>
      <c r="G1237">
        <v>2699.56835</v>
      </c>
      <c r="H1237" t="str">
        <f t="shared" si="57"/>
        <v>18-29</v>
      </c>
      <c r="I1237" t="str">
        <f t="shared" si="58"/>
        <v>Obese</v>
      </c>
      <c r="J1237" t="str">
        <f t="shared" si="59"/>
        <v>No</v>
      </c>
    </row>
    <row r="1238" spans="1:10" x14ac:dyDescent="0.25">
      <c r="A1238">
        <v>63</v>
      </c>
      <c r="B1238" t="s">
        <v>7</v>
      </c>
      <c r="C1238">
        <v>21.66</v>
      </c>
      <c r="D1238">
        <v>0</v>
      </c>
      <c r="E1238" t="s">
        <v>11</v>
      </c>
      <c r="F1238" t="s">
        <v>14</v>
      </c>
      <c r="G1238">
        <v>14449.8544</v>
      </c>
      <c r="H1238" t="str">
        <f t="shared" si="57"/>
        <v>60+</v>
      </c>
      <c r="I1238" t="str">
        <f t="shared" si="58"/>
        <v>Normal</v>
      </c>
      <c r="J1238" t="str">
        <f t="shared" si="59"/>
        <v>No</v>
      </c>
    </row>
    <row r="1239" spans="1:10" x14ac:dyDescent="0.25">
      <c r="A1239">
        <v>58</v>
      </c>
      <c r="B1239" t="s">
        <v>7</v>
      </c>
      <c r="C1239">
        <v>28.215</v>
      </c>
      <c r="D1239">
        <v>0</v>
      </c>
      <c r="E1239" t="s">
        <v>11</v>
      </c>
      <c r="F1239" t="s">
        <v>13</v>
      </c>
      <c r="G1239">
        <v>12224.350850000001</v>
      </c>
      <c r="H1239" t="str">
        <f t="shared" si="57"/>
        <v>50-59</v>
      </c>
      <c r="I1239" t="str">
        <f t="shared" si="58"/>
        <v>Overweight</v>
      </c>
      <c r="J1239" t="str">
        <f t="shared" si="59"/>
        <v>No</v>
      </c>
    </row>
    <row r="1240" spans="1:10" x14ac:dyDescent="0.25">
      <c r="A1240">
        <v>37</v>
      </c>
      <c r="B1240" t="s">
        <v>10</v>
      </c>
      <c r="C1240">
        <v>22.704999999999998</v>
      </c>
      <c r="D1240">
        <v>3</v>
      </c>
      <c r="E1240" t="s">
        <v>11</v>
      </c>
      <c r="F1240" t="s">
        <v>14</v>
      </c>
      <c r="G1240">
        <v>6985.50695</v>
      </c>
      <c r="H1240" t="str">
        <f t="shared" si="57"/>
        <v>30-39</v>
      </c>
      <c r="I1240" t="str">
        <f t="shared" si="58"/>
        <v>Normal</v>
      </c>
      <c r="J1240" t="str">
        <f t="shared" si="59"/>
        <v>No</v>
      </c>
    </row>
    <row r="1241" spans="1:10" x14ac:dyDescent="0.25">
      <c r="A1241">
        <v>25</v>
      </c>
      <c r="B1241" t="s">
        <v>7</v>
      </c>
      <c r="C1241">
        <v>42.13</v>
      </c>
      <c r="D1241">
        <v>1</v>
      </c>
      <c r="E1241" t="s">
        <v>11</v>
      </c>
      <c r="F1241" t="s">
        <v>12</v>
      </c>
      <c r="G1241">
        <v>3238.4357</v>
      </c>
      <c r="H1241" t="str">
        <f t="shared" si="57"/>
        <v>18-29</v>
      </c>
      <c r="I1241" t="str">
        <f t="shared" si="58"/>
        <v>Obese</v>
      </c>
      <c r="J1241" t="str">
        <f t="shared" si="59"/>
        <v>No</v>
      </c>
    </row>
    <row r="1242" spans="1:10" x14ac:dyDescent="0.25">
      <c r="A1242">
        <v>52</v>
      </c>
      <c r="B1242" t="s">
        <v>10</v>
      </c>
      <c r="C1242">
        <v>41.8</v>
      </c>
      <c r="D1242">
        <v>2</v>
      </c>
      <c r="E1242" t="s">
        <v>8</v>
      </c>
      <c r="F1242" t="s">
        <v>12</v>
      </c>
      <c r="G1242">
        <v>47269.853999999999</v>
      </c>
      <c r="H1242" t="str">
        <f t="shared" si="57"/>
        <v>50-59</v>
      </c>
      <c r="I1242" t="str">
        <f t="shared" si="58"/>
        <v>Obese</v>
      </c>
      <c r="J1242" t="str">
        <f t="shared" si="59"/>
        <v>Yes</v>
      </c>
    </row>
    <row r="1243" spans="1:10" x14ac:dyDescent="0.25">
      <c r="A1243">
        <v>64</v>
      </c>
      <c r="B1243" t="s">
        <v>10</v>
      </c>
      <c r="C1243">
        <v>36.96</v>
      </c>
      <c r="D1243">
        <v>2</v>
      </c>
      <c r="E1243" t="s">
        <v>8</v>
      </c>
      <c r="F1243" t="s">
        <v>12</v>
      </c>
      <c r="G1243">
        <v>49577.662400000001</v>
      </c>
      <c r="H1243" t="str">
        <f t="shared" si="57"/>
        <v>60+</v>
      </c>
      <c r="I1243" t="str">
        <f t="shared" si="58"/>
        <v>Obese</v>
      </c>
      <c r="J1243" t="str">
        <f t="shared" si="59"/>
        <v>Yes</v>
      </c>
    </row>
    <row r="1244" spans="1:10" x14ac:dyDescent="0.25">
      <c r="A1244">
        <v>22</v>
      </c>
      <c r="B1244" t="s">
        <v>7</v>
      </c>
      <c r="C1244">
        <v>21.28</v>
      </c>
      <c r="D1244">
        <v>3</v>
      </c>
      <c r="E1244" t="s">
        <v>11</v>
      </c>
      <c r="F1244" t="s">
        <v>13</v>
      </c>
      <c r="G1244">
        <v>4296.2712000000001</v>
      </c>
      <c r="H1244" t="str">
        <f t="shared" si="57"/>
        <v>18-29</v>
      </c>
      <c r="I1244" t="str">
        <f t="shared" si="58"/>
        <v>Normal</v>
      </c>
      <c r="J1244" t="str">
        <f t="shared" si="59"/>
        <v>No</v>
      </c>
    </row>
    <row r="1245" spans="1:10" x14ac:dyDescent="0.25">
      <c r="A1245">
        <v>28</v>
      </c>
      <c r="B1245" t="s">
        <v>7</v>
      </c>
      <c r="C1245">
        <v>33.11</v>
      </c>
      <c r="D1245">
        <v>0</v>
      </c>
      <c r="E1245" t="s">
        <v>11</v>
      </c>
      <c r="F1245" t="s">
        <v>12</v>
      </c>
      <c r="G1245">
        <v>3171.6149</v>
      </c>
      <c r="H1245" t="str">
        <f t="shared" si="57"/>
        <v>18-29</v>
      </c>
      <c r="I1245" t="str">
        <f t="shared" si="58"/>
        <v>Obese</v>
      </c>
      <c r="J1245" t="str">
        <f t="shared" si="59"/>
        <v>No</v>
      </c>
    </row>
    <row r="1246" spans="1:10" x14ac:dyDescent="0.25">
      <c r="A1246">
        <v>18</v>
      </c>
      <c r="B1246" t="s">
        <v>10</v>
      </c>
      <c r="C1246">
        <v>33.33</v>
      </c>
      <c r="D1246">
        <v>0</v>
      </c>
      <c r="E1246" t="s">
        <v>11</v>
      </c>
      <c r="F1246" t="s">
        <v>12</v>
      </c>
      <c r="G1246">
        <v>1135.9407000000001</v>
      </c>
      <c r="H1246" t="str">
        <f t="shared" si="57"/>
        <v>18-29</v>
      </c>
      <c r="I1246" t="str">
        <f t="shared" si="58"/>
        <v>Obese</v>
      </c>
      <c r="J1246" t="str">
        <f t="shared" si="59"/>
        <v>No</v>
      </c>
    </row>
    <row r="1247" spans="1:10" x14ac:dyDescent="0.25">
      <c r="A1247">
        <v>28</v>
      </c>
      <c r="B1247" t="s">
        <v>10</v>
      </c>
      <c r="C1247">
        <v>24.3</v>
      </c>
      <c r="D1247">
        <v>5</v>
      </c>
      <c r="E1247" t="s">
        <v>11</v>
      </c>
      <c r="F1247" t="s">
        <v>9</v>
      </c>
      <c r="G1247">
        <v>5615.3689999999997</v>
      </c>
      <c r="H1247" t="str">
        <f t="shared" si="57"/>
        <v>18-29</v>
      </c>
      <c r="I1247" t="str">
        <f t="shared" si="58"/>
        <v>Normal</v>
      </c>
      <c r="J1247" t="str">
        <f t="shared" si="59"/>
        <v>No</v>
      </c>
    </row>
    <row r="1248" spans="1:10" x14ac:dyDescent="0.25">
      <c r="A1248">
        <v>45</v>
      </c>
      <c r="B1248" t="s">
        <v>7</v>
      </c>
      <c r="C1248">
        <v>25.7</v>
      </c>
      <c r="D1248">
        <v>3</v>
      </c>
      <c r="E1248" t="s">
        <v>11</v>
      </c>
      <c r="F1248" t="s">
        <v>9</v>
      </c>
      <c r="G1248">
        <v>9101.7980000000007</v>
      </c>
      <c r="H1248" t="str">
        <f t="shared" si="57"/>
        <v>40-49</v>
      </c>
      <c r="I1248" t="str">
        <f t="shared" si="58"/>
        <v>Overweight</v>
      </c>
      <c r="J1248" t="str">
        <f t="shared" si="59"/>
        <v>No</v>
      </c>
    </row>
    <row r="1249" spans="1:10" x14ac:dyDescent="0.25">
      <c r="A1249">
        <v>33</v>
      </c>
      <c r="B1249" t="s">
        <v>10</v>
      </c>
      <c r="C1249">
        <v>29.4</v>
      </c>
      <c r="D1249">
        <v>4</v>
      </c>
      <c r="E1249" t="s">
        <v>11</v>
      </c>
      <c r="F1249" t="s">
        <v>9</v>
      </c>
      <c r="G1249">
        <v>6059.1729999999998</v>
      </c>
      <c r="H1249" t="str">
        <f t="shared" si="57"/>
        <v>30-39</v>
      </c>
      <c r="I1249" t="str">
        <f t="shared" si="58"/>
        <v>Overweight</v>
      </c>
      <c r="J1249" t="str">
        <f t="shared" si="59"/>
        <v>No</v>
      </c>
    </row>
    <row r="1250" spans="1:10" x14ac:dyDescent="0.25">
      <c r="A1250">
        <v>18</v>
      </c>
      <c r="B1250" t="s">
        <v>7</v>
      </c>
      <c r="C1250">
        <v>39.82</v>
      </c>
      <c r="D1250">
        <v>0</v>
      </c>
      <c r="E1250" t="s">
        <v>11</v>
      </c>
      <c r="F1250" t="s">
        <v>12</v>
      </c>
      <c r="G1250">
        <v>1633.9618</v>
      </c>
      <c r="H1250" t="str">
        <f t="shared" si="57"/>
        <v>18-29</v>
      </c>
      <c r="I1250" t="str">
        <f t="shared" si="58"/>
        <v>Obese</v>
      </c>
      <c r="J1250" t="str">
        <f t="shared" si="59"/>
        <v>No</v>
      </c>
    </row>
    <row r="1251" spans="1:10" x14ac:dyDescent="0.25">
      <c r="A1251">
        <v>32</v>
      </c>
      <c r="B1251" t="s">
        <v>10</v>
      </c>
      <c r="C1251">
        <v>33.630000000000003</v>
      </c>
      <c r="D1251">
        <v>1</v>
      </c>
      <c r="E1251" t="s">
        <v>8</v>
      </c>
      <c r="F1251" t="s">
        <v>14</v>
      </c>
      <c r="G1251">
        <v>37607.527699999999</v>
      </c>
      <c r="H1251" t="str">
        <f t="shared" si="57"/>
        <v>30-39</v>
      </c>
      <c r="I1251" t="str">
        <f t="shared" si="58"/>
        <v>Obese</v>
      </c>
      <c r="J1251" t="str">
        <f t="shared" si="59"/>
        <v>Yes</v>
      </c>
    </row>
    <row r="1252" spans="1:10" x14ac:dyDescent="0.25">
      <c r="A1252">
        <v>24</v>
      </c>
      <c r="B1252" t="s">
        <v>10</v>
      </c>
      <c r="C1252">
        <v>29.83</v>
      </c>
      <c r="D1252">
        <v>0</v>
      </c>
      <c r="E1252" t="s">
        <v>8</v>
      </c>
      <c r="F1252" t="s">
        <v>14</v>
      </c>
      <c r="G1252">
        <v>18648.421699999999</v>
      </c>
      <c r="H1252" t="str">
        <f t="shared" si="57"/>
        <v>18-29</v>
      </c>
      <c r="I1252" t="str">
        <f t="shared" si="58"/>
        <v>Overweight</v>
      </c>
      <c r="J1252" t="str">
        <f t="shared" si="59"/>
        <v>No</v>
      </c>
    </row>
    <row r="1253" spans="1:10" x14ac:dyDescent="0.25">
      <c r="A1253">
        <v>19</v>
      </c>
      <c r="B1253" t="s">
        <v>10</v>
      </c>
      <c r="C1253">
        <v>19.8</v>
      </c>
      <c r="D1253">
        <v>0</v>
      </c>
      <c r="E1253" t="s">
        <v>11</v>
      </c>
      <c r="F1253" t="s">
        <v>9</v>
      </c>
      <c r="G1253">
        <v>1241.5650000000001</v>
      </c>
      <c r="H1253" t="str">
        <f t="shared" si="57"/>
        <v>18-29</v>
      </c>
      <c r="I1253" t="str">
        <f t="shared" si="58"/>
        <v>Normal</v>
      </c>
      <c r="J1253" t="str">
        <f t="shared" si="59"/>
        <v>No</v>
      </c>
    </row>
    <row r="1254" spans="1:10" x14ac:dyDescent="0.25">
      <c r="A1254">
        <v>20</v>
      </c>
      <c r="B1254" t="s">
        <v>10</v>
      </c>
      <c r="C1254">
        <v>27.3</v>
      </c>
      <c r="D1254">
        <v>0</v>
      </c>
      <c r="E1254" t="s">
        <v>8</v>
      </c>
      <c r="F1254" t="s">
        <v>9</v>
      </c>
      <c r="G1254">
        <v>16232.847</v>
      </c>
      <c r="H1254" t="str">
        <f t="shared" si="57"/>
        <v>18-29</v>
      </c>
      <c r="I1254" t="str">
        <f t="shared" si="58"/>
        <v>Overweight</v>
      </c>
      <c r="J1254" t="str">
        <f t="shared" si="59"/>
        <v>No</v>
      </c>
    </row>
    <row r="1255" spans="1:10" x14ac:dyDescent="0.25">
      <c r="A1255">
        <v>40</v>
      </c>
      <c r="B1255" t="s">
        <v>7</v>
      </c>
      <c r="C1255">
        <v>29.3</v>
      </c>
      <c r="D1255">
        <v>4</v>
      </c>
      <c r="E1255" t="s">
        <v>11</v>
      </c>
      <c r="F1255" t="s">
        <v>9</v>
      </c>
      <c r="G1255">
        <v>15828.82173</v>
      </c>
      <c r="H1255" t="str">
        <f t="shared" si="57"/>
        <v>40-49</v>
      </c>
      <c r="I1255" t="str">
        <f t="shared" si="58"/>
        <v>Overweight</v>
      </c>
      <c r="J1255" t="str">
        <f t="shared" si="59"/>
        <v>No</v>
      </c>
    </row>
    <row r="1256" spans="1:10" x14ac:dyDescent="0.25">
      <c r="A1256">
        <v>34</v>
      </c>
      <c r="B1256" t="s">
        <v>7</v>
      </c>
      <c r="C1256">
        <v>27.72</v>
      </c>
      <c r="D1256">
        <v>0</v>
      </c>
      <c r="E1256" t="s">
        <v>11</v>
      </c>
      <c r="F1256" t="s">
        <v>12</v>
      </c>
      <c r="G1256">
        <v>4415.1588000000002</v>
      </c>
      <c r="H1256" t="str">
        <f t="shared" si="57"/>
        <v>30-39</v>
      </c>
      <c r="I1256" t="str">
        <f t="shared" si="58"/>
        <v>Overweight</v>
      </c>
      <c r="J1256" t="str">
        <f t="shared" si="59"/>
        <v>No</v>
      </c>
    </row>
    <row r="1257" spans="1:10" x14ac:dyDescent="0.25">
      <c r="A1257">
        <v>42</v>
      </c>
      <c r="B1257" t="s">
        <v>7</v>
      </c>
      <c r="C1257">
        <v>37.9</v>
      </c>
      <c r="D1257">
        <v>0</v>
      </c>
      <c r="E1257" t="s">
        <v>11</v>
      </c>
      <c r="F1257" t="s">
        <v>9</v>
      </c>
      <c r="G1257">
        <v>6474.0129999999999</v>
      </c>
      <c r="H1257" t="str">
        <f t="shared" si="57"/>
        <v>40-49</v>
      </c>
      <c r="I1257" t="str">
        <f t="shared" si="58"/>
        <v>Obese</v>
      </c>
      <c r="J1257" t="str">
        <f t="shared" si="59"/>
        <v>No</v>
      </c>
    </row>
    <row r="1258" spans="1:10" x14ac:dyDescent="0.25">
      <c r="A1258">
        <v>51</v>
      </c>
      <c r="B1258" t="s">
        <v>7</v>
      </c>
      <c r="C1258">
        <v>36.384999999999998</v>
      </c>
      <c r="D1258">
        <v>3</v>
      </c>
      <c r="E1258" t="s">
        <v>11</v>
      </c>
      <c r="F1258" t="s">
        <v>13</v>
      </c>
      <c r="G1258">
        <v>11436.738149999999</v>
      </c>
      <c r="H1258" t="str">
        <f t="shared" si="57"/>
        <v>50-59</v>
      </c>
      <c r="I1258" t="str">
        <f t="shared" si="58"/>
        <v>Obese</v>
      </c>
      <c r="J1258" t="str">
        <f t="shared" si="59"/>
        <v>No</v>
      </c>
    </row>
    <row r="1259" spans="1:10" x14ac:dyDescent="0.25">
      <c r="A1259">
        <v>54</v>
      </c>
      <c r="B1259" t="s">
        <v>7</v>
      </c>
      <c r="C1259">
        <v>27.645</v>
      </c>
      <c r="D1259">
        <v>1</v>
      </c>
      <c r="E1259" t="s">
        <v>11</v>
      </c>
      <c r="F1259" t="s">
        <v>13</v>
      </c>
      <c r="G1259">
        <v>11305.93455</v>
      </c>
      <c r="H1259" t="str">
        <f t="shared" si="57"/>
        <v>50-59</v>
      </c>
      <c r="I1259" t="str">
        <f t="shared" si="58"/>
        <v>Overweight</v>
      </c>
      <c r="J1259" t="str">
        <f t="shared" si="59"/>
        <v>No</v>
      </c>
    </row>
    <row r="1260" spans="1:10" x14ac:dyDescent="0.25">
      <c r="A1260">
        <v>55</v>
      </c>
      <c r="B1260" t="s">
        <v>10</v>
      </c>
      <c r="C1260">
        <v>37.715000000000003</v>
      </c>
      <c r="D1260">
        <v>3</v>
      </c>
      <c r="E1260" t="s">
        <v>11</v>
      </c>
      <c r="F1260" t="s">
        <v>13</v>
      </c>
      <c r="G1260">
        <v>30063.580549999999</v>
      </c>
      <c r="H1260" t="str">
        <f t="shared" si="57"/>
        <v>50-59</v>
      </c>
      <c r="I1260" t="str">
        <f t="shared" si="58"/>
        <v>Obese</v>
      </c>
      <c r="J1260" t="str">
        <f t="shared" si="59"/>
        <v>Yes</v>
      </c>
    </row>
    <row r="1261" spans="1:10" x14ac:dyDescent="0.25">
      <c r="A1261">
        <v>52</v>
      </c>
      <c r="B1261" t="s">
        <v>7</v>
      </c>
      <c r="C1261">
        <v>23.18</v>
      </c>
      <c r="D1261">
        <v>0</v>
      </c>
      <c r="E1261" t="s">
        <v>11</v>
      </c>
      <c r="F1261" t="s">
        <v>14</v>
      </c>
      <c r="G1261">
        <v>10197.772199999999</v>
      </c>
      <c r="H1261" t="str">
        <f t="shared" si="57"/>
        <v>50-59</v>
      </c>
      <c r="I1261" t="str">
        <f t="shared" si="58"/>
        <v>Normal</v>
      </c>
      <c r="J1261" t="str">
        <f t="shared" si="59"/>
        <v>No</v>
      </c>
    </row>
    <row r="1262" spans="1:10" x14ac:dyDescent="0.25">
      <c r="A1262">
        <v>32</v>
      </c>
      <c r="B1262" t="s">
        <v>7</v>
      </c>
      <c r="C1262">
        <v>20.52</v>
      </c>
      <c r="D1262">
        <v>0</v>
      </c>
      <c r="E1262" t="s">
        <v>11</v>
      </c>
      <c r="F1262" t="s">
        <v>14</v>
      </c>
      <c r="G1262">
        <v>4544.2348000000002</v>
      </c>
      <c r="H1262" t="str">
        <f t="shared" si="57"/>
        <v>30-39</v>
      </c>
      <c r="I1262" t="str">
        <f t="shared" si="58"/>
        <v>Normal</v>
      </c>
      <c r="J1262" t="str">
        <f t="shared" si="59"/>
        <v>No</v>
      </c>
    </row>
    <row r="1263" spans="1:10" x14ac:dyDescent="0.25">
      <c r="A1263">
        <v>28</v>
      </c>
      <c r="B1263" t="s">
        <v>10</v>
      </c>
      <c r="C1263">
        <v>37.1</v>
      </c>
      <c r="D1263">
        <v>1</v>
      </c>
      <c r="E1263" t="s">
        <v>11</v>
      </c>
      <c r="F1263" t="s">
        <v>9</v>
      </c>
      <c r="G1263">
        <v>3277.1610000000001</v>
      </c>
      <c r="H1263" t="str">
        <f t="shared" si="57"/>
        <v>18-29</v>
      </c>
      <c r="I1263" t="str">
        <f t="shared" si="58"/>
        <v>Obese</v>
      </c>
      <c r="J1263" t="str">
        <f t="shared" si="59"/>
        <v>No</v>
      </c>
    </row>
    <row r="1264" spans="1:10" x14ac:dyDescent="0.25">
      <c r="A1264">
        <v>41</v>
      </c>
      <c r="B1264" t="s">
        <v>7</v>
      </c>
      <c r="C1264">
        <v>28.05</v>
      </c>
      <c r="D1264">
        <v>1</v>
      </c>
      <c r="E1264" t="s">
        <v>11</v>
      </c>
      <c r="F1264" t="s">
        <v>12</v>
      </c>
      <c r="G1264">
        <v>6770.1925000000001</v>
      </c>
      <c r="H1264" t="str">
        <f t="shared" si="57"/>
        <v>40-49</v>
      </c>
      <c r="I1264" t="str">
        <f t="shared" si="58"/>
        <v>Overweight</v>
      </c>
      <c r="J1264" t="str">
        <f t="shared" si="59"/>
        <v>No</v>
      </c>
    </row>
    <row r="1265" spans="1:10" x14ac:dyDescent="0.25">
      <c r="A1265">
        <v>43</v>
      </c>
      <c r="B1265" t="s">
        <v>7</v>
      </c>
      <c r="C1265">
        <v>29.9</v>
      </c>
      <c r="D1265">
        <v>1</v>
      </c>
      <c r="E1265" t="s">
        <v>11</v>
      </c>
      <c r="F1265" t="s">
        <v>9</v>
      </c>
      <c r="G1265">
        <v>7337.7479999999996</v>
      </c>
      <c r="H1265" t="str">
        <f t="shared" si="57"/>
        <v>40-49</v>
      </c>
      <c r="I1265" t="str">
        <f t="shared" si="58"/>
        <v>Overweight</v>
      </c>
      <c r="J1265" t="str">
        <f t="shared" si="59"/>
        <v>No</v>
      </c>
    </row>
    <row r="1266" spans="1:10" x14ac:dyDescent="0.25">
      <c r="A1266">
        <v>49</v>
      </c>
      <c r="B1266" t="s">
        <v>7</v>
      </c>
      <c r="C1266">
        <v>33.344999999999999</v>
      </c>
      <c r="D1266">
        <v>2</v>
      </c>
      <c r="E1266" t="s">
        <v>11</v>
      </c>
      <c r="F1266" t="s">
        <v>14</v>
      </c>
      <c r="G1266">
        <v>10370.912549999999</v>
      </c>
      <c r="H1266" t="str">
        <f t="shared" si="57"/>
        <v>40-49</v>
      </c>
      <c r="I1266" t="str">
        <f t="shared" si="58"/>
        <v>Obese</v>
      </c>
      <c r="J1266" t="str">
        <f t="shared" si="59"/>
        <v>No</v>
      </c>
    </row>
    <row r="1267" spans="1:10" x14ac:dyDescent="0.25">
      <c r="A1267">
        <v>64</v>
      </c>
      <c r="B1267" t="s">
        <v>10</v>
      </c>
      <c r="C1267">
        <v>23.76</v>
      </c>
      <c r="D1267">
        <v>0</v>
      </c>
      <c r="E1267" t="s">
        <v>8</v>
      </c>
      <c r="F1267" t="s">
        <v>12</v>
      </c>
      <c r="G1267">
        <v>26926.5144</v>
      </c>
      <c r="H1267" t="str">
        <f t="shared" si="57"/>
        <v>60+</v>
      </c>
      <c r="I1267" t="str">
        <f t="shared" si="58"/>
        <v>Normal</v>
      </c>
      <c r="J1267" t="str">
        <f t="shared" si="59"/>
        <v>Yes</v>
      </c>
    </row>
    <row r="1268" spans="1:10" x14ac:dyDescent="0.25">
      <c r="A1268">
        <v>55</v>
      </c>
      <c r="B1268" t="s">
        <v>7</v>
      </c>
      <c r="C1268">
        <v>30.5</v>
      </c>
      <c r="D1268">
        <v>0</v>
      </c>
      <c r="E1268" t="s">
        <v>11</v>
      </c>
      <c r="F1268" t="s">
        <v>9</v>
      </c>
      <c r="G1268">
        <v>10704.47</v>
      </c>
      <c r="H1268" t="str">
        <f t="shared" si="57"/>
        <v>50-59</v>
      </c>
      <c r="I1268" t="str">
        <f t="shared" si="58"/>
        <v>Obese</v>
      </c>
      <c r="J1268" t="str">
        <f t="shared" si="59"/>
        <v>No</v>
      </c>
    </row>
    <row r="1269" spans="1:10" x14ac:dyDescent="0.25">
      <c r="A1269">
        <v>24</v>
      </c>
      <c r="B1269" t="s">
        <v>10</v>
      </c>
      <c r="C1269">
        <v>31.065000000000001</v>
      </c>
      <c r="D1269">
        <v>0</v>
      </c>
      <c r="E1269" t="s">
        <v>8</v>
      </c>
      <c r="F1269" t="s">
        <v>14</v>
      </c>
      <c r="G1269">
        <v>34254.053350000002</v>
      </c>
      <c r="H1269" t="str">
        <f t="shared" si="57"/>
        <v>18-29</v>
      </c>
      <c r="I1269" t="str">
        <f t="shared" si="58"/>
        <v>Obese</v>
      </c>
      <c r="J1269" t="str">
        <f t="shared" si="59"/>
        <v>Yes</v>
      </c>
    </row>
    <row r="1270" spans="1:10" x14ac:dyDescent="0.25">
      <c r="A1270">
        <v>20</v>
      </c>
      <c r="B1270" t="s">
        <v>7</v>
      </c>
      <c r="C1270">
        <v>33.299999999999997</v>
      </c>
      <c r="D1270">
        <v>0</v>
      </c>
      <c r="E1270" t="s">
        <v>11</v>
      </c>
      <c r="F1270" t="s">
        <v>9</v>
      </c>
      <c r="G1270">
        <v>1880.4870000000001</v>
      </c>
      <c r="H1270" t="str">
        <f t="shared" si="57"/>
        <v>18-29</v>
      </c>
      <c r="I1270" t="str">
        <f t="shared" si="58"/>
        <v>Obese</v>
      </c>
      <c r="J1270" t="str">
        <f t="shared" si="59"/>
        <v>No</v>
      </c>
    </row>
    <row r="1271" spans="1:10" x14ac:dyDescent="0.25">
      <c r="A1271">
        <v>45</v>
      </c>
      <c r="B1271" t="s">
        <v>10</v>
      </c>
      <c r="C1271">
        <v>27.5</v>
      </c>
      <c r="D1271">
        <v>3</v>
      </c>
      <c r="E1271" t="s">
        <v>11</v>
      </c>
      <c r="F1271" t="s">
        <v>9</v>
      </c>
      <c r="G1271">
        <v>8615.2999999999993</v>
      </c>
      <c r="H1271" t="str">
        <f t="shared" si="57"/>
        <v>40-49</v>
      </c>
      <c r="I1271" t="str">
        <f t="shared" si="58"/>
        <v>Overweight</v>
      </c>
      <c r="J1271" t="str">
        <f t="shared" si="59"/>
        <v>No</v>
      </c>
    </row>
    <row r="1272" spans="1:10" x14ac:dyDescent="0.25">
      <c r="A1272">
        <v>26</v>
      </c>
      <c r="B1272" t="s">
        <v>10</v>
      </c>
      <c r="C1272">
        <v>33.914999999999999</v>
      </c>
      <c r="D1272">
        <v>1</v>
      </c>
      <c r="E1272" t="s">
        <v>11</v>
      </c>
      <c r="F1272" t="s">
        <v>13</v>
      </c>
      <c r="G1272">
        <v>3292.5298499999999</v>
      </c>
      <c r="H1272" t="str">
        <f t="shared" si="57"/>
        <v>18-29</v>
      </c>
      <c r="I1272" t="str">
        <f t="shared" si="58"/>
        <v>Obese</v>
      </c>
      <c r="J1272" t="str">
        <f t="shared" si="59"/>
        <v>No</v>
      </c>
    </row>
    <row r="1273" spans="1:10" x14ac:dyDescent="0.25">
      <c r="A1273">
        <v>25</v>
      </c>
      <c r="B1273" t="s">
        <v>7</v>
      </c>
      <c r="C1273">
        <v>34.484999999999999</v>
      </c>
      <c r="D1273">
        <v>0</v>
      </c>
      <c r="E1273" t="s">
        <v>11</v>
      </c>
      <c r="F1273" t="s">
        <v>13</v>
      </c>
      <c r="G1273">
        <v>3021.80915</v>
      </c>
      <c r="H1273" t="str">
        <f t="shared" si="57"/>
        <v>18-29</v>
      </c>
      <c r="I1273" t="str">
        <f t="shared" si="58"/>
        <v>Obese</v>
      </c>
      <c r="J1273" t="str">
        <f t="shared" si="59"/>
        <v>No</v>
      </c>
    </row>
    <row r="1274" spans="1:10" x14ac:dyDescent="0.25">
      <c r="A1274">
        <v>43</v>
      </c>
      <c r="B1274" t="s">
        <v>10</v>
      </c>
      <c r="C1274">
        <v>25.52</v>
      </c>
      <c r="D1274">
        <v>5</v>
      </c>
      <c r="E1274" t="s">
        <v>11</v>
      </c>
      <c r="F1274" t="s">
        <v>12</v>
      </c>
      <c r="G1274">
        <v>14478.33015</v>
      </c>
      <c r="H1274" t="str">
        <f t="shared" si="57"/>
        <v>40-49</v>
      </c>
      <c r="I1274" t="str">
        <f t="shared" si="58"/>
        <v>Overweight</v>
      </c>
      <c r="J1274" t="str">
        <f t="shared" si="59"/>
        <v>No</v>
      </c>
    </row>
    <row r="1275" spans="1:10" x14ac:dyDescent="0.25">
      <c r="A1275">
        <v>35</v>
      </c>
      <c r="B1275" t="s">
        <v>10</v>
      </c>
      <c r="C1275">
        <v>27.61</v>
      </c>
      <c r="D1275">
        <v>1</v>
      </c>
      <c r="E1275" t="s">
        <v>11</v>
      </c>
      <c r="F1275" t="s">
        <v>12</v>
      </c>
      <c r="G1275">
        <v>4747.0528999999997</v>
      </c>
      <c r="H1275" t="str">
        <f t="shared" si="57"/>
        <v>30-39</v>
      </c>
      <c r="I1275" t="str">
        <f t="shared" si="58"/>
        <v>Overweight</v>
      </c>
      <c r="J1275" t="str">
        <f t="shared" si="59"/>
        <v>No</v>
      </c>
    </row>
    <row r="1276" spans="1:10" x14ac:dyDescent="0.25">
      <c r="A1276">
        <v>26</v>
      </c>
      <c r="B1276" t="s">
        <v>10</v>
      </c>
      <c r="C1276">
        <v>27.06</v>
      </c>
      <c r="D1276">
        <v>0</v>
      </c>
      <c r="E1276" t="s">
        <v>8</v>
      </c>
      <c r="F1276" t="s">
        <v>12</v>
      </c>
      <c r="G1276">
        <v>17043.341400000001</v>
      </c>
      <c r="H1276" t="str">
        <f t="shared" si="57"/>
        <v>18-29</v>
      </c>
      <c r="I1276" t="str">
        <f t="shared" si="58"/>
        <v>Overweight</v>
      </c>
      <c r="J1276" t="str">
        <f t="shared" si="59"/>
        <v>No</v>
      </c>
    </row>
    <row r="1277" spans="1:10" x14ac:dyDescent="0.25">
      <c r="A1277">
        <v>57</v>
      </c>
      <c r="B1277" t="s">
        <v>10</v>
      </c>
      <c r="C1277">
        <v>23.7</v>
      </c>
      <c r="D1277">
        <v>0</v>
      </c>
      <c r="E1277" t="s">
        <v>11</v>
      </c>
      <c r="F1277" t="s">
        <v>9</v>
      </c>
      <c r="G1277">
        <v>10959.33</v>
      </c>
      <c r="H1277" t="str">
        <f t="shared" si="57"/>
        <v>50-59</v>
      </c>
      <c r="I1277" t="str">
        <f t="shared" si="58"/>
        <v>Normal</v>
      </c>
      <c r="J1277" t="str">
        <f t="shared" si="59"/>
        <v>No</v>
      </c>
    </row>
    <row r="1278" spans="1:10" x14ac:dyDescent="0.25">
      <c r="A1278">
        <v>22</v>
      </c>
      <c r="B1278" t="s">
        <v>7</v>
      </c>
      <c r="C1278">
        <v>30.4</v>
      </c>
      <c r="D1278">
        <v>0</v>
      </c>
      <c r="E1278" t="s">
        <v>11</v>
      </c>
      <c r="F1278" t="s">
        <v>14</v>
      </c>
      <c r="G1278">
        <v>2741.9479999999999</v>
      </c>
      <c r="H1278" t="str">
        <f t="shared" si="57"/>
        <v>18-29</v>
      </c>
      <c r="I1278" t="str">
        <f t="shared" si="58"/>
        <v>Obese</v>
      </c>
      <c r="J1278" t="str">
        <f t="shared" si="59"/>
        <v>No</v>
      </c>
    </row>
    <row r="1279" spans="1:10" x14ac:dyDescent="0.25">
      <c r="A1279">
        <v>32</v>
      </c>
      <c r="B1279" t="s">
        <v>7</v>
      </c>
      <c r="C1279">
        <v>29.734999999999999</v>
      </c>
      <c r="D1279">
        <v>0</v>
      </c>
      <c r="E1279" t="s">
        <v>11</v>
      </c>
      <c r="F1279" t="s">
        <v>13</v>
      </c>
      <c r="G1279">
        <v>4357.0436499999996</v>
      </c>
      <c r="H1279" t="str">
        <f t="shared" si="57"/>
        <v>30-39</v>
      </c>
      <c r="I1279" t="str">
        <f t="shared" si="58"/>
        <v>Overweight</v>
      </c>
      <c r="J1279" t="str">
        <f t="shared" si="59"/>
        <v>No</v>
      </c>
    </row>
    <row r="1280" spans="1:10" x14ac:dyDescent="0.25">
      <c r="A1280">
        <v>39</v>
      </c>
      <c r="B1280" t="s">
        <v>10</v>
      </c>
      <c r="C1280">
        <v>29.925000000000001</v>
      </c>
      <c r="D1280">
        <v>1</v>
      </c>
      <c r="E1280" t="s">
        <v>8</v>
      </c>
      <c r="F1280" t="s">
        <v>14</v>
      </c>
      <c r="G1280">
        <v>22462.043750000001</v>
      </c>
      <c r="H1280" t="str">
        <f t="shared" si="57"/>
        <v>30-39</v>
      </c>
      <c r="I1280" t="str">
        <f t="shared" si="58"/>
        <v>Overweight</v>
      </c>
      <c r="J1280" t="str">
        <f t="shared" si="59"/>
        <v>Yes</v>
      </c>
    </row>
    <row r="1281" spans="1:10" x14ac:dyDescent="0.25">
      <c r="A1281">
        <v>25</v>
      </c>
      <c r="B1281" t="s">
        <v>7</v>
      </c>
      <c r="C1281">
        <v>26.79</v>
      </c>
      <c r="D1281">
        <v>2</v>
      </c>
      <c r="E1281" t="s">
        <v>11</v>
      </c>
      <c r="F1281" t="s">
        <v>13</v>
      </c>
      <c r="G1281">
        <v>4189.1130999999996</v>
      </c>
      <c r="H1281" t="str">
        <f t="shared" si="57"/>
        <v>18-29</v>
      </c>
      <c r="I1281" t="str">
        <f t="shared" si="58"/>
        <v>Overweight</v>
      </c>
      <c r="J1281" t="str">
        <f t="shared" si="59"/>
        <v>No</v>
      </c>
    </row>
    <row r="1282" spans="1:10" x14ac:dyDescent="0.25">
      <c r="A1282">
        <v>48</v>
      </c>
      <c r="B1282" t="s">
        <v>7</v>
      </c>
      <c r="C1282">
        <v>33.33</v>
      </c>
      <c r="D1282">
        <v>0</v>
      </c>
      <c r="E1282" t="s">
        <v>11</v>
      </c>
      <c r="F1282" t="s">
        <v>12</v>
      </c>
      <c r="G1282">
        <v>8283.6807000000008</v>
      </c>
      <c r="H1282" t="str">
        <f t="shared" ref="H1282:H1339" si="60">IF(A1282&lt;30, "18-29", IF(A1282&lt;40, "30-39", IF(A1282&lt;50, "40-49", IF(A1282&lt;60, "50-59", "60+"))))</f>
        <v>40-49</v>
      </c>
      <c r="I1282" t="str">
        <f t="shared" ref="I1282:I1339" si="61">IF(C1282&lt;18.5, "Underweight", IF(C1282&lt;25, "Normal", IF(C1282&lt;30,"Overweight","Obese")))</f>
        <v>Obese</v>
      </c>
      <c r="J1282" t="str">
        <f t="shared" ref="J1282:J1339" si="62">IF(G1282&gt;20000,"Yes","No")</f>
        <v>No</v>
      </c>
    </row>
    <row r="1283" spans="1:10" x14ac:dyDescent="0.25">
      <c r="A1283">
        <v>47</v>
      </c>
      <c r="B1283" t="s">
        <v>7</v>
      </c>
      <c r="C1283">
        <v>27.645</v>
      </c>
      <c r="D1283">
        <v>2</v>
      </c>
      <c r="E1283" t="s">
        <v>8</v>
      </c>
      <c r="F1283" t="s">
        <v>13</v>
      </c>
      <c r="G1283">
        <v>24535.698550000001</v>
      </c>
      <c r="H1283" t="str">
        <f t="shared" si="60"/>
        <v>40-49</v>
      </c>
      <c r="I1283" t="str">
        <f t="shared" si="61"/>
        <v>Overweight</v>
      </c>
      <c r="J1283" t="str">
        <f t="shared" si="62"/>
        <v>Yes</v>
      </c>
    </row>
    <row r="1284" spans="1:10" x14ac:dyDescent="0.25">
      <c r="A1284">
        <v>18</v>
      </c>
      <c r="B1284" t="s">
        <v>7</v>
      </c>
      <c r="C1284">
        <v>21.66</v>
      </c>
      <c r="D1284">
        <v>0</v>
      </c>
      <c r="E1284" t="s">
        <v>8</v>
      </c>
      <c r="F1284" t="s">
        <v>14</v>
      </c>
      <c r="G1284">
        <v>14283.4594</v>
      </c>
      <c r="H1284" t="str">
        <f t="shared" si="60"/>
        <v>18-29</v>
      </c>
      <c r="I1284" t="str">
        <f t="shared" si="61"/>
        <v>Normal</v>
      </c>
      <c r="J1284" t="str">
        <f t="shared" si="62"/>
        <v>No</v>
      </c>
    </row>
    <row r="1285" spans="1:10" x14ac:dyDescent="0.25">
      <c r="A1285">
        <v>18</v>
      </c>
      <c r="B1285" t="s">
        <v>10</v>
      </c>
      <c r="C1285">
        <v>30.03</v>
      </c>
      <c r="D1285">
        <v>1</v>
      </c>
      <c r="E1285" t="s">
        <v>11</v>
      </c>
      <c r="F1285" t="s">
        <v>12</v>
      </c>
      <c r="G1285">
        <v>1720.3536999999999</v>
      </c>
      <c r="H1285" t="str">
        <f t="shared" si="60"/>
        <v>18-29</v>
      </c>
      <c r="I1285" t="str">
        <f t="shared" si="61"/>
        <v>Obese</v>
      </c>
      <c r="J1285" t="str">
        <f t="shared" si="62"/>
        <v>No</v>
      </c>
    </row>
    <row r="1286" spans="1:10" x14ac:dyDescent="0.25">
      <c r="A1286">
        <v>61</v>
      </c>
      <c r="B1286" t="s">
        <v>10</v>
      </c>
      <c r="C1286">
        <v>36.299999999999997</v>
      </c>
      <c r="D1286">
        <v>1</v>
      </c>
      <c r="E1286" t="s">
        <v>8</v>
      </c>
      <c r="F1286" t="s">
        <v>9</v>
      </c>
      <c r="G1286">
        <v>47403.88</v>
      </c>
      <c r="H1286" t="str">
        <f t="shared" si="60"/>
        <v>60+</v>
      </c>
      <c r="I1286" t="str">
        <f t="shared" si="61"/>
        <v>Obese</v>
      </c>
      <c r="J1286" t="str">
        <f t="shared" si="62"/>
        <v>Yes</v>
      </c>
    </row>
    <row r="1287" spans="1:10" x14ac:dyDescent="0.25">
      <c r="A1287">
        <v>47</v>
      </c>
      <c r="B1287" t="s">
        <v>7</v>
      </c>
      <c r="C1287">
        <v>24.32</v>
      </c>
      <c r="D1287">
        <v>0</v>
      </c>
      <c r="E1287" t="s">
        <v>11</v>
      </c>
      <c r="F1287" t="s">
        <v>14</v>
      </c>
      <c r="G1287">
        <v>8534.6718000000001</v>
      </c>
      <c r="H1287" t="str">
        <f t="shared" si="60"/>
        <v>40-49</v>
      </c>
      <c r="I1287" t="str">
        <f t="shared" si="61"/>
        <v>Normal</v>
      </c>
      <c r="J1287" t="str">
        <f t="shared" si="62"/>
        <v>No</v>
      </c>
    </row>
    <row r="1288" spans="1:10" x14ac:dyDescent="0.25">
      <c r="A1288">
        <v>28</v>
      </c>
      <c r="B1288" t="s">
        <v>7</v>
      </c>
      <c r="C1288">
        <v>17.29</v>
      </c>
      <c r="D1288">
        <v>0</v>
      </c>
      <c r="E1288" t="s">
        <v>11</v>
      </c>
      <c r="F1288" t="s">
        <v>14</v>
      </c>
      <c r="G1288">
        <v>3732.6251000000002</v>
      </c>
      <c r="H1288" t="str">
        <f t="shared" si="60"/>
        <v>18-29</v>
      </c>
      <c r="I1288" t="str">
        <f t="shared" si="61"/>
        <v>Underweight</v>
      </c>
      <c r="J1288" t="str">
        <f t="shared" si="62"/>
        <v>No</v>
      </c>
    </row>
    <row r="1289" spans="1:10" x14ac:dyDescent="0.25">
      <c r="A1289">
        <v>36</v>
      </c>
      <c r="B1289" t="s">
        <v>7</v>
      </c>
      <c r="C1289">
        <v>25.9</v>
      </c>
      <c r="D1289">
        <v>1</v>
      </c>
      <c r="E1289" t="s">
        <v>11</v>
      </c>
      <c r="F1289" t="s">
        <v>9</v>
      </c>
      <c r="G1289">
        <v>5472.4489999999996</v>
      </c>
      <c r="H1289" t="str">
        <f t="shared" si="60"/>
        <v>30-39</v>
      </c>
      <c r="I1289" t="str">
        <f t="shared" si="61"/>
        <v>Overweight</v>
      </c>
      <c r="J1289" t="str">
        <f t="shared" si="62"/>
        <v>No</v>
      </c>
    </row>
    <row r="1290" spans="1:10" x14ac:dyDescent="0.25">
      <c r="A1290">
        <v>20</v>
      </c>
      <c r="B1290" t="s">
        <v>10</v>
      </c>
      <c r="C1290">
        <v>39.4</v>
      </c>
      <c r="D1290">
        <v>2</v>
      </c>
      <c r="E1290" t="s">
        <v>8</v>
      </c>
      <c r="F1290" t="s">
        <v>9</v>
      </c>
      <c r="G1290">
        <v>38344.565999999999</v>
      </c>
      <c r="H1290" t="str">
        <f t="shared" si="60"/>
        <v>18-29</v>
      </c>
      <c r="I1290" t="str">
        <f t="shared" si="61"/>
        <v>Obese</v>
      </c>
      <c r="J1290" t="str">
        <f t="shared" si="62"/>
        <v>Yes</v>
      </c>
    </row>
    <row r="1291" spans="1:10" x14ac:dyDescent="0.25">
      <c r="A1291">
        <v>44</v>
      </c>
      <c r="B1291" t="s">
        <v>10</v>
      </c>
      <c r="C1291">
        <v>34.32</v>
      </c>
      <c r="D1291">
        <v>1</v>
      </c>
      <c r="E1291" t="s">
        <v>11</v>
      </c>
      <c r="F1291" t="s">
        <v>12</v>
      </c>
      <c r="G1291">
        <v>7147.4727999999996</v>
      </c>
      <c r="H1291" t="str">
        <f t="shared" si="60"/>
        <v>40-49</v>
      </c>
      <c r="I1291" t="str">
        <f t="shared" si="61"/>
        <v>Obese</v>
      </c>
      <c r="J1291" t="str">
        <f t="shared" si="62"/>
        <v>No</v>
      </c>
    </row>
    <row r="1292" spans="1:10" x14ac:dyDescent="0.25">
      <c r="A1292">
        <v>38</v>
      </c>
      <c r="B1292" t="s">
        <v>7</v>
      </c>
      <c r="C1292">
        <v>19.95</v>
      </c>
      <c r="D1292">
        <v>2</v>
      </c>
      <c r="E1292" t="s">
        <v>11</v>
      </c>
      <c r="F1292" t="s">
        <v>14</v>
      </c>
      <c r="G1292">
        <v>7133.9025000000001</v>
      </c>
      <c r="H1292" t="str">
        <f t="shared" si="60"/>
        <v>30-39</v>
      </c>
      <c r="I1292" t="str">
        <f t="shared" si="61"/>
        <v>Normal</v>
      </c>
      <c r="J1292" t="str">
        <f t="shared" si="62"/>
        <v>No</v>
      </c>
    </row>
    <row r="1293" spans="1:10" x14ac:dyDescent="0.25">
      <c r="A1293">
        <v>19</v>
      </c>
      <c r="B1293" t="s">
        <v>10</v>
      </c>
      <c r="C1293">
        <v>34.9</v>
      </c>
      <c r="D1293">
        <v>0</v>
      </c>
      <c r="E1293" t="s">
        <v>8</v>
      </c>
      <c r="F1293" t="s">
        <v>9</v>
      </c>
      <c r="G1293">
        <v>34828.654000000002</v>
      </c>
      <c r="H1293" t="str">
        <f t="shared" si="60"/>
        <v>18-29</v>
      </c>
      <c r="I1293" t="str">
        <f t="shared" si="61"/>
        <v>Obese</v>
      </c>
      <c r="J1293" t="str">
        <f t="shared" si="62"/>
        <v>Yes</v>
      </c>
    </row>
    <row r="1294" spans="1:10" x14ac:dyDescent="0.25">
      <c r="A1294">
        <v>21</v>
      </c>
      <c r="B1294" t="s">
        <v>10</v>
      </c>
      <c r="C1294">
        <v>23.21</v>
      </c>
      <c r="D1294">
        <v>0</v>
      </c>
      <c r="E1294" t="s">
        <v>11</v>
      </c>
      <c r="F1294" t="s">
        <v>12</v>
      </c>
      <c r="G1294">
        <v>1515.3449000000001</v>
      </c>
      <c r="H1294" t="str">
        <f t="shared" si="60"/>
        <v>18-29</v>
      </c>
      <c r="I1294" t="str">
        <f t="shared" si="61"/>
        <v>Normal</v>
      </c>
      <c r="J1294" t="str">
        <f t="shared" si="62"/>
        <v>No</v>
      </c>
    </row>
    <row r="1295" spans="1:10" x14ac:dyDescent="0.25">
      <c r="A1295">
        <v>46</v>
      </c>
      <c r="B1295" t="s">
        <v>10</v>
      </c>
      <c r="C1295">
        <v>25.745000000000001</v>
      </c>
      <c r="D1295">
        <v>3</v>
      </c>
      <c r="E1295" t="s">
        <v>11</v>
      </c>
      <c r="F1295" t="s">
        <v>13</v>
      </c>
      <c r="G1295">
        <v>9301.8935500000007</v>
      </c>
      <c r="H1295" t="str">
        <f t="shared" si="60"/>
        <v>40-49</v>
      </c>
      <c r="I1295" t="str">
        <f t="shared" si="61"/>
        <v>Overweight</v>
      </c>
      <c r="J1295" t="str">
        <f t="shared" si="62"/>
        <v>No</v>
      </c>
    </row>
    <row r="1296" spans="1:10" x14ac:dyDescent="0.25">
      <c r="A1296">
        <v>58</v>
      </c>
      <c r="B1296" t="s">
        <v>10</v>
      </c>
      <c r="C1296">
        <v>25.175000000000001</v>
      </c>
      <c r="D1296">
        <v>0</v>
      </c>
      <c r="E1296" t="s">
        <v>11</v>
      </c>
      <c r="F1296" t="s">
        <v>14</v>
      </c>
      <c r="G1296">
        <v>11931.125249999999</v>
      </c>
      <c r="H1296" t="str">
        <f t="shared" si="60"/>
        <v>50-59</v>
      </c>
      <c r="I1296" t="str">
        <f t="shared" si="61"/>
        <v>Overweight</v>
      </c>
      <c r="J1296" t="str">
        <f t="shared" si="62"/>
        <v>No</v>
      </c>
    </row>
    <row r="1297" spans="1:10" x14ac:dyDescent="0.25">
      <c r="A1297">
        <v>20</v>
      </c>
      <c r="B1297" t="s">
        <v>10</v>
      </c>
      <c r="C1297">
        <v>22</v>
      </c>
      <c r="D1297">
        <v>1</v>
      </c>
      <c r="E1297" t="s">
        <v>11</v>
      </c>
      <c r="F1297" t="s">
        <v>9</v>
      </c>
      <c r="G1297">
        <v>1964.78</v>
      </c>
      <c r="H1297" t="str">
        <f t="shared" si="60"/>
        <v>18-29</v>
      </c>
      <c r="I1297" t="str">
        <f t="shared" si="61"/>
        <v>Normal</v>
      </c>
      <c r="J1297" t="str">
        <f t="shared" si="62"/>
        <v>No</v>
      </c>
    </row>
    <row r="1298" spans="1:10" x14ac:dyDescent="0.25">
      <c r="A1298">
        <v>18</v>
      </c>
      <c r="B1298" t="s">
        <v>10</v>
      </c>
      <c r="C1298">
        <v>26.125</v>
      </c>
      <c r="D1298">
        <v>0</v>
      </c>
      <c r="E1298" t="s">
        <v>11</v>
      </c>
      <c r="F1298" t="s">
        <v>14</v>
      </c>
      <c r="G1298">
        <v>1708.9257500000001</v>
      </c>
      <c r="H1298" t="str">
        <f t="shared" si="60"/>
        <v>18-29</v>
      </c>
      <c r="I1298" t="str">
        <f t="shared" si="61"/>
        <v>Overweight</v>
      </c>
      <c r="J1298" t="str">
        <f t="shared" si="62"/>
        <v>No</v>
      </c>
    </row>
    <row r="1299" spans="1:10" x14ac:dyDescent="0.25">
      <c r="A1299">
        <v>28</v>
      </c>
      <c r="B1299" t="s">
        <v>7</v>
      </c>
      <c r="C1299">
        <v>26.51</v>
      </c>
      <c r="D1299">
        <v>2</v>
      </c>
      <c r="E1299" t="s">
        <v>11</v>
      </c>
      <c r="F1299" t="s">
        <v>12</v>
      </c>
      <c r="G1299">
        <v>4340.4408999999996</v>
      </c>
      <c r="H1299" t="str">
        <f t="shared" si="60"/>
        <v>18-29</v>
      </c>
      <c r="I1299" t="str">
        <f t="shared" si="61"/>
        <v>Overweight</v>
      </c>
      <c r="J1299" t="str">
        <f t="shared" si="62"/>
        <v>No</v>
      </c>
    </row>
    <row r="1300" spans="1:10" x14ac:dyDescent="0.25">
      <c r="A1300">
        <v>33</v>
      </c>
      <c r="B1300" t="s">
        <v>10</v>
      </c>
      <c r="C1300">
        <v>27.454999999999998</v>
      </c>
      <c r="D1300">
        <v>2</v>
      </c>
      <c r="E1300" t="s">
        <v>11</v>
      </c>
      <c r="F1300" t="s">
        <v>13</v>
      </c>
      <c r="G1300">
        <v>5261.4694499999996</v>
      </c>
      <c r="H1300" t="str">
        <f t="shared" si="60"/>
        <v>30-39</v>
      </c>
      <c r="I1300" t="str">
        <f t="shared" si="61"/>
        <v>Overweight</v>
      </c>
      <c r="J1300" t="str">
        <f t="shared" si="62"/>
        <v>No</v>
      </c>
    </row>
    <row r="1301" spans="1:10" x14ac:dyDescent="0.25">
      <c r="A1301">
        <v>19</v>
      </c>
      <c r="B1301" t="s">
        <v>7</v>
      </c>
      <c r="C1301">
        <v>25.745000000000001</v>
      </c>
      <c r="D1301">
        <v>1</v>
      </c>
      <c r="E1301" t="s">
        <v>11</v>
      </c>
      <c r="F1301" t="s">
        <v>13</v>
      </c>
      <c r="G1301">
        <v>2710.8285500000002</v>
      </c>
      <c r="H1301" t="str">
        <f t="shared" si="60"/>
        <v>18-29</v>
      </c>
      <c r="I1301" t="str">
        <f t="shared" si="61"/>
        <v>Overweight</v>
      </c>
      <c r="J1301" t="str">
        <f t="shared" si="62"/>
        <v>No</v>
      </c>
    </row>
    <row r="1302" spans="1:10" x14ac:dyDescent="0.25">
      <c r="A1302">
        <v>45</v>
      </c>
      <c r="B1302" t="s">
        <v>10</v>
      </c>
      <c r="C1302">
        <v>30.36</v>
      </c>
      <c r="D1302">
        <v>0</v>
      </c>
      <c r="E1302" t="s">
        <v>8</v>
      </c>
      <c r="F1302" t="s">
        <v>12</v>
      </c>
      <c r="G1302">
        <v>62592.873090000001</v>
      </c>
      <c r="H1302" t="str">
        <f t="shared" si="60"/>
        <v>40-49</v>
      </c>
      <c r="I1302" t="str">
        <f t="shared" si="61"/>
        <v>Obese</v>
      </c>
      <c r="J1302" t="str">
        <f t="shared" si="62"/>
        <v>Yes</v>
      </c>
    </row>
    <row r="1303" spans="1:10" x14ac:dyDescent="0.25">
      <c r="A1303">
        <v>62</v>
      </c>
      <c r="B1303" t="s">
        <v>10</v>
      </c>
      <c r="C1303">
        <v>30.875</v>
      </c>
      <c r="D1303">
        <v>3</v>
      </c>
      <c r="E1303" t="s">
        <v>8</v>
      </c>
      <c r="F1303" t="s">
        <v>13</v>
      </c>
      <c r="G1303">
        <v>46718.163249999998</v>
      </c>
      <c r="H1303" t="str">
        <f t="shared" si="60"/>
        <v>60+</v>
      </c>
      <c r="I1303" t="str">
        <f t="shared" si="61"/>
        <v>Obese</v>
      </c>
      <c r="J1303" t="str">
        <f t="shared" si="62"/>
        <v>Yes</v>
      </c>
    </row>
    <row r="1304" spans="1:10" x14ac:dyDescent="0.25">
      <c r="A1304">
        <v>25</v>
      </c>
      <c r="B1304" t="s">
        <v>7</v>
      </c>
      <c r="C1304">
        <v>20.8</v>
      </c>
      <c r="D1304">
        <v>1</v>
      </c>
      <c r="E1304" t="s">
        <v>11</v>
      </c>
      <c r="F1304" t="s">
        <v>9</v>
      </c>
      <c r="G1304">
        <v>3208.7869999999998</v>
      </c>
      <c r="H1304" t="str">
        <f t="shared" si="60"/>
        <v>18-29</v>
      </c>
      <c r="I1304" t="str">
        <f t="shared" si="61"/>
        <v>Normal</v>
      </c>
      <c r="J1304" t="str">
        <f t="shared" si="62"/>
        <v>No</v>
      </c>
    </row>
    <row r="1305" spans="1:10" x14ac:dyDescent="0.25">
      <c r="A1305">
        <v>43</v>
      </c>
      <c r="B1305" t="s">
        <v>10</v>
      </c>
      <c r="C1305">
        <v>27.8</v>
      </c>
      <c r="D1305">
        <v>0</v>
      </c>
      <c r="E1305" t="s">
        <v>8</v>
      </c>
      <c r="F1305" t="s">
        <v>9</v>
      </c>
      <c r="G1305">
        <v>37829.724199999997</v>
      </c>
      <c r="H1305" t="str">
        <f t="shared" si="60"/>
        <v>40-49</v>
      </c>
      <c r="I1305" t="str">
        <f t="shared" si="61"/>
        <v>Overweight</v>
      </c>
      <c r="J1305" t="str">
        <f t="shared" si="62"/>
        <v>Yes</v>
      </c>
    </row>
    <row r="1306" spans="1:10" x14ac:dyDescent="0.25">
      <c r="A1306">
        <v>42</v>
      </c>
      <c r="B1306" t="s">
        <v>10</v>
      </c>
      <c r="C1306">
        <v>24.605</v>
      </c>
      <c r="D1306">
        <v>2</v>
      </c>
      <c r="E1306" t="s">
        <v>8</v>
      </c>
      <c r="F1306" t="s">
        <v>14</v>
      </c>
      <c r="G1306">
        <v>21259.377949999998</v>
      </c>
      <c r="H1306" t="str">
        <f t="shared" si="60"/>
        <v>40-49</v>
      </c>
      <c r="I1306" t="str">
        <f t="shared" si="61"/>
        <v>Normal</v>
      </c>
      <c r="J1306" t="str">
        <f t="shared" si="62"/>
        <v>Yes</v>
      </c>
    </row>
    <row r="1307" spans="1:10" x14ac:dyDescent="0.25">
      <c r="A1307">
        <v>24</v>
      </c>
      <c r="B1307" t="s">
        <v>7</v>
      </c>
      <c r="C1307">
        <v>27.72</v>
      </c>
      <c r="D1307">
        <v>0</v>
      </c>
      <c r="E1307" t="s">
        <v>11</v>
      </c>
      <c r="F1307" t="s">
        <v>12</v>
      </c>
      <c r="G1307">
        <v>2464.6188000000002</v>
      </c>
      <c r="H1307" t="str">
        <f t="shared" si="60"/>
        <v>18-29</v>
      </c>
      <c r="I1307" t="str">
        <f t="shared" si="61"/>
        <v>Overweight</v>
      </c>
      <c r="J1307" t="str">
        <f t="shared" si="62"/>
        <v>No</v>
      </c>
    </row>
    <row r="1308" spans="1:10" x14ac:dyDescent="0.25">
      <c r="A1308">
        <v>29</v>
      </c>
      <c r="B1308" t="s">
        <v>7</v>
      </c>
      <c r="C1308">
        <v>21.85</v>
      </c>
      <c r="D1308">
        <v>0</v>
      </c>
      <c r="E1308" t="s">
        <v>8</v>
      </c>
      <c r="F1308" t="s">
        <v>14</v>
      </c>
      <c r="G1308">
        <v>16115.3045</v>
      </c>
      <c r="H1308" t="str">
        <f t="shared" si="60"/>
        <v>18-29</v>
      </c>
      <c r="I1308" t="str">
        <f t="shared" si="61"/>
        <v>Normal</v>
      </c>
      <c r="J1308" t="str">
        <f t="shared" si="62"/>
        <v>No</v>
      </c>
    </row>
    <row r="1309" spans="1:10" x14ac:dyDescent="0.25">
      <c r="A1309">
        <v>32</v>
      </c>
      <c r="B1309" t="s">
        <v>10</v>
      </c>
      <c r="C1309">
        <v>28.12</v>
      </c>
      <c r="D1309">
        <v>4</v>
      </c>
      <c r="E1309" t="s">
        <v>8</v>
      </c>
      <c r="F1309" t="s">
        <v>13</v>
      </c>
      <c r="G1309">
        <v>21472.478800000001</v>
      </c>
      <c r="H1309" t="str">
        <f t="shared" si="60"/>
        <v>30-39</v>
      </c>
      <c r="I1309" t="str">
        <f t="shared" si="61"/>
        <v>Overweight</v>
      </c>
      <c r="J1309" t="str">
        <f t="shared" si="62"/>
        <v>Yes</v>
      </c>
    </row>
    <row r="1310" spans="1:10" x14ac:dyDescent="0.25">
      <c r="A1310">
        <v>25</v>
      </c>
      <c r="B1310" t="s">
        <v>7</v>
      </c>
      <c r="C1310">
        <v>30.2</v>
      </c>
      <c r="D1310">
        <v>0</v>
      </c>
      <c r="E1310" t="s">
        <v>8</v>
      </c>
      <c r="F1310" t="s">
        <v>9</v>
      </c>
      <c r="G1310">
        <v>33900.652999999998</v>
      </c>
      <c r="H1310" t="str">
        <f t="shared" si="60"/>
        <v>18-29</v>
      </c>
      <c r="I1310" t="str">
        <f t="shared" si="61"/>
        <v>Obese</v>
      </c>
      <c r="J1310" t="str">
        <f t="shared" si="62"/>
        <v>Yes</v>
      </c>
    </row>
    <row r="1311" spans="1:10" x14ac:dyDescent="0.25">
      <c r="A1311">
        <v>41</v>
      </c>
      <c r="B1311" t="s">
        <v>10</v>
      </c>
      <c r="C1311">
        <v>32.200000000000003</v>
      </c>
      <c r="D1311">
        <v>2</v>
      </c>
      <c r="E1311" t="s">
        <v>11</v>
      </c>
      <c r="F1311" t="s">
        <v>9</v>
      </c>
      <c r="G1311">
        <v>6875.9610000000002</v>
      </c>
      <c r="H1311" t="str">
        <f t="shared" si="60"/>
        <v>40-49</v>
      </c>
      <c r="I1311" t="str">
        <f t="shared" si="61"/>
        <v>Obese</v>
      </c>
      <c r="J1311" t="str">
        <f t="shared" si="62"/>
        <v>No</v>
      </c>
    </row>
    <row r="1312" spans="1:10" x14ac:dyDescent="0.25">
      <c r="A1312">
        <v>42</v>
      </c>
      <c r="B1312" t="s">
        <v>10</v>
      </c>
      <c r="C1312">
        <v>26.315000000000001</v>
      </c>
      <c r="D1312">
        <v>1</v>
      </c>
      <c r="E1312" t="s">
        <v>11</v>
      </c>
      <c r="F1312" t="s">
        <v>13</v>
      </c>
      <c r="G1312">
        <v>6940.90985</v>
      </c>
      <c r="H1312" t="str">
        <f t="shared" si="60"/>
        <v>40-49</v>
      </c>
      <c r="I1312" t="str">
        <f t="shared" si="61"/>
        <v>Overweight</v>
      </c>
      <c r="J1312" t="str">
        <f t="shared" si="62"/>
        <v>No</v>
      </c>
    </row>
    <row r="1313" spans="1:10" x14ac:dyDescent="0.25">
      <c r="A1313">
        <v>33</v>
      </c>
      <c r="B1313" t="s">
        <v>7</v>
      </c>
      <c r="C1313">
        <v>26.695</v>
      </c>
      <c r="D1313">
        <v>0</v>
      </c>
      <c r="E1313" t="s">
        <v>11</v>
      </c>
      <c r="F1313" t="s">
        <v>13</v>
      </c>
      <c r="G1313">
        <v>4571.4130500000001</v>
      </c>
      <c r="H1313" t="str">
        <f t="shared" si="60"/>
        <v>30-39</v>
      </c>
      <c r="I1313" t="str">
        <f t="shared" si="61"/>
        <v>Overweight</v>
      </c>
      <c r="J1313" t="str">
        <f t="shared" si="62"/>
        <v>No</v>
      </c>
    </row>
    <row r="1314" spans="1:10" x14ac:dyDescent="0.25">
      <c r="A1314">
        <v>34</v>
      </c>
      <c r="B1314" t="s">
        <v>10</v>
      </c>
      <c r="C1314">
        <v>42.9</v>
      </c>
      <c r="D1314">
        <v>1</v>
      </c>
      <c r="E1314" t="s">
        <v>11</v>
      </c>
      <c r="F1314" t="s">
        <v>9</v>
      </c>
      <c r="G1314">
        <v>4536.259</v>
      </c>
      <c r="H1314" t="str">
        <f t="shared" si="60"/>
        <v>30-39</v>
      </c>
      <c r="I1314" t="str">
        <f t="shared" si="61"/>
        <v>Obese</v>
      </c>
      <c r="J1314" t="str">
        <f t="shared" si="62"/>
        <v>No</v>
      </c>
    </row>
    <row r="1315" spans="1:10" x14ac:dyDescent="0.25">
      <c r="A1315">
        <v>19</v>
      </c>
      <c r="B1315" t="s">
        <v>7</v>
      </c>
      <c r="C1315">
        <v>34.700000000000003</v>
      </c>
      <c r="D1315">
        <v>2</v>
      </c>
      <c r="E1315" t="s">
        <v>8</v>
      </c>
      <c r="F1315" t="s">
        <v>9</v>
      </c>
      <c r="G1315">
        <v>36397.576000000001</v>
      </c>
      <c r="H1315" t="str">
        <f t="shared" si="60"/>
        <v>18-29</v>
      </c>
      <c r="I1315" t="str">
        <f t="shared" si="61"/>
        <v>Obese</v>
      </c>
      <c r="J1315" t="str">
        <f t="shared" si="62"/>
        <v>Yes</v>
      </c>
    </row>
    <row r="1316" spans="1:10" x14ac:dyDescent="0.25">
      <c r="A1316">
        <v>30</v>
      </c>
      <c r="B1316" t="s">
        <v>7</v>
      </c>
      <c r="C1316">
        <v>23.655000000000001</v>
      </c>
      <c r="D1316">
        <v>3</v>
      </c>
      <c r="E1316" t="s">
        <v>8</v>
      </c>
      <c r="F1316" t="s">
        <v>13</v>
      </c>
      <c r="G1316">
        <v>18765.87545</v>
      </c>
      <c r="H1316" t="str">
        <f t="shared" si="60"/>
        <v>30-39</v>
      </c>
      <c r="I1316" t="str">
        <f t="shared" si="61"/>
        <v>Normal</v>
      </c>
      <c r="J1316" t="str">
        <f t="shared" si="62"/>
        <v>No</v>
      </c>
    </row>
    <row r="1317" spans="1:10" x14ac:dyDescent="0.25">
      <c r="A1317">
        <v>18</v>
      </c>
      <c r="B1317" t="s">
        <v>10</v>
      </c>
      <c r="C1317">
        <v>28.31</v>
      </c>
      <c r="D1317">
        <v>1</v>
      </c>
      <c r="E1317" t="s">
        <v>11</v>
      </c>
      <c r="F1317" t="s">
        <v>14</v>
      </c>
      <c r="G1317">
        <v>11272.331389999999</v>
      </c>
      <c r="H1317" t="str">
        <f t="shared" si="60"/>
        <v>18-29</v>
      </c>
      <c r="I1317" t="str">
        <f t="shared" si="61"/>
        <v>Overweight</v>
      </c>
      <c r="J1317" t="str">
        <f t="shared" si="62"/>
        <v>No</v>
      </c>
    </row>
    <row r="1318" spans="1:10" x14ac:dyDescent="0.25">
      <c r="A1318">
        <v>19</v>
      </c>
      <c r="B1318" t="s">
        <v>7</v>
      </c>
      <c r="C1318">
        <v>20.6</v>
      </c>
      <c r="D1318">
        <v>0</v>
      </c>
      <c r="E1318" t="s">
        <v>11</v>
      </c>
      <c r="F1318" t="s">
        <v>9</v>
      </c>
      <c r="G1318">
        <v>1731.6769999999999</v>
      </c>
      <c r="H1318" t="str">
        <f t="shared" si="60"/>
        <v>18-29</v>
      </c>
      <c r="I1318" t="str">
        <f t="shared" si="61"/>
        <v>Normal</v>
      </c>
      <c r="J1318" t="str">
        <f t="shared" si="62"/>
        <v>No</v>
      </c>
    </row>
    <row r="1319" spans="1:10" x14ac:dyDescent="0.25">
      <c r="A1319">
        <v>18</v>
      </c>
      <c r="B1319" t="s">
        <v>10</v>
      </c>
      <c r="C1319">
        <v>53.13</v>
      </c>
      <c r="D1319">
        <v>0</v>
      </c>
      <c r="E1319" t="s">
        <v>11</v>
      </c>
      <c r="F1319" t="s">
        <v>12</v>
      </c>
      <c r="G1319">
        <v>1163.4627</v>
      </c>
      <c r="H1319" t="str">
        <f t="shared" si="60"/>
        <v>18-29</v>
      </c>
      <c r="I1319" t="str">
        <f t="shared" si="61"/>
        <v>Obese</v>
      </c>
      <c r="J1319" t="str">
        <f t="shared" si="62"/>
        <v>No</v>
      </c>
    </row>
    <row r="1320" spans="1:10" x14ac:dyDescent="0.25">
      <c r="A1320">
        <v>35</v>
      </c>
      <c r="B1320" t="s">
        <v>10</v>
      </c>
      <c r="C1320">
        <v>39.71</v>
      </c>
      <c r="D1320">
        <v>4</v>
      </c>
      <c r="E1320" t="s">
        <v>11</v>
      </c>
      <c r="F1320" t="s">
        <v>14</v>
      </c>
      <c r="G1320">
        <v>19496.71917</v>
      </c>
      <c r="H1320" t="str">
        <f t="shared" si="60"/>
        <v>30-39</v>
      </c>
      <c r="I1320" t="str">
        <f t="shared" si="61"/>
        <v>Obese</v>
      </c>
      <c r="J1320" t="str">
        <f t="shared" si="62"/>
        <v>No</v>
      </c>
    </row>
    <row r="1321" spans="1:10" x14ac:dyDescent="0.25">
      <c r="A1321">
        <v>39</v>
      </c>
      <c r="B1321" t="s">
        <v>7</v>
      </c>
      <c r="C1321">
        <v>26.315000000000001</v>
      </c>
      <c r="D1321">
        <v>2</v>
      </c>
      <c r="E1321" t="s">
        <v>11</v>
      </c>
      <c r="F1321" t="s">
        <v>13</v>
      </c>
      <c r="G1321">
        <v>7201.7008500000002</v>
      </c>
      <c r="H1321" t="str">
        <f t="shared" si="60"/>
        <v>30-39</v>
      </c>
      <c r="I1321" t="str">
        <f t="shared" si="61"/>
        <v>Overweight</v>
      </c>
      <c r="J1321" t="str">
        <f t="shared" si="62"/>
        <v>No</v>
      </c>
    </row>
    <row r="1322" spans="1:10" x14ac:dyDescent="0.25">
      <c r="A1322">
        <v>31</v>
      </c>
      <c r="B1322" t="s">
        <v>10</v>
      </c>
      <c r="C1322">
        <v>31.065000000000001</v>
      </c>
      <c r="D1322">
        <v>3</v>
      </c>
      <c r="E1322" t="s">
        <v>11</v>
      </c>
      <c r="F1322" t="s">
        <v>13</v>
      </c>
      <c r="G1322">
        <v>5425.0233500000004</v>
      </c>
      <c r="H1322" t="str">
        <f t="shared" si="60"/>
        <v>30-39</v>
      </c>
      <c r="I1322" t="str">
        <f t="shared" si="61"/>
        <v>Obese</v>
      </c>
      <c r="J1322" t="str">
        <f t="shared" si="62"/>
        <v>No</v>
      </c>
    </row>
    <row r="1323" spans="1:10" x14ac:dyDescent="0.25">
      <c r="A1323">
        <v>62</v>
      </c>
      <c r="B1323" t="s">
        <v>10</v>
      </c>
      <c r="C1323">
        <v>26.695</v>
      </c>
      <c r="D1323">
        <v>0</v>
      </c>
      <c r="E1323" t="s">
        <v>8</v>
      </c>
      <c r="F1323" t="s">
        <v>14</v>
      </c>
      <c r="G1323">
        <v>28101.333050000001</v>
      </c>
      <c r="H1323" t="str">
        <f t="shared" si="60"/>
        <v>60+</v>
      </c>
      <c r="I1323" t="str">
        <f t="shared" si="61"/>
        <v>Overweight</v>
      </c>
      <c r="J1323" t="str">
        <f t="shared" si="62"/>
        <v>Yes</v>
      </c>
    </row>
    <row r="1324" spans="1:10" x14ac:dyDescent="0.25">
      <c r="A1324">
        <v>62</v>
      </c>
      <c r="B1324" t="s">
        <v>10</v>
      </c>
      <c r="C1324">
        <v>38.83</v>
      </c>
      <c r="D1324">
        <v>0</v>
      </c>
      <c r="E1324" t="s">
        <v>11</v>
      </c>
      <c r="F1324" t="s">
        <v>12</v>
      </c>
      <c r="G1324">
        <v>12981.3457</v>
      </c>
      <c r="H1324" t="str">
        <f t="shared" si="60"/>
        <v>60+</v>
      </c>
      <c r="I1324" t="str">
        <f t="shared" si="61"/>
        <v>Obese</v>
      </c>
      <c r="J1324" t="str">
        <f t="shared" si="62"/>
        <v>No</v>
      </c>
    </row>
    <row r="1325" spans="1:10" x14ac:dyDescent="0.25">
      <c r="A1325">
        <v>42</v>
      </c>
      <c r="B1325" t="s">
        <v>7</v>
      </c>
      <c r="C1325">
        <v>40.369999999999997</v>
      </c>
      <c r="D1325">
        <v>2</v>
      </c>
      <c r="E1325" t="s">
        <v>8</v>
      </c>
      <c r="F1325" t="s">
        <v>12</v>
      </c>
      <c r="G1325">
        <v>43896.376300000004</v>
      </c>
      <c r="H1325" t="str">
        <f t="shared" si="60"/>
        <v>40-49</v>
      </c>
      <c r="I1325" t="str">
        <f t="shared" si="61"/>
        <v>Obese</v>
      </c>
      <c r="J1325" t="str">
        <f t="shared" si="62"/>
        <v>Yes</v>
      </c>
    </row>
    <row r="1326" spans="1:10" x14ac:dyDescent="0.25">
      <c r="A1326">
        <v>31</v>
      </c>
      <c r="B1326" t="s">
        <v>10</v>
      </c>
      <c r="C1326">
        <v>25.934999999999999</v>
      </c>
      <c r="D1326">
        <v>1</v>
      </c>
      <c r="E1326" t="s">
        <v>11</v>
      </c>
      <c r="F1326" t="s">
        <v>13</v>
      </c>
      <c r="G1326">
        <v>4239.8926499999998</v>
      </c>
      <c r="H1326" t="str">
        <f t="shared" si="60"/>
        <v>30-39</v>
      </c>
      <c r="I1326" t="str">
        <f t="shared" si="61"/>
        <v>Overweight</v>
      </c>
      <c r="J1326" t="str">
        <f t="shared" si="62"/>
        <v>No</v>
      </c>
    </row>
    <row r="1327" spans="1:10" x14ac:dyDescent="0.25">
      <c r="A1327">
        <v>61</v>
      </c>
      <c r="B1327" t="s">
        <v>10</v>
      </c>
      <c r="C1327">
        <v>33.534999999999997</v>
      </c>
      <c r="D1327">
        <v>0</v>
      </c>
      <c r="E1327" t="s">
        <v>11</v>
      </c>
      <c r="F1327" t="s">
        <v>14</v>
      </c>
      <c r="G1327">
        <v>13143.336649999999</v>
      </c>
      <c r="H1327" t="str">
        <f t="shared" si="60"/>
        <v>60+</v>
      </c>
      <c r="I1327" t="str">
        <f t="shared" si="61"/>
        <v>Obese</v>
      </c>
      <c r="J1327" t="str">
        <f t="shared" si="62"/>
        <v>No</v>
      </c>
    </row>
    <row r="1328" spans="1:10" x14ac:dyDescent="0.25">
      <c r="A1328">
        <v>42</v>
      </c>
      <c r="B1328" t="s">
        <v>7</v>
      </c>
      <c r="C1328">
        <v>32.869999999999997</v>
      </c>
      <c r="D1328">
        <v>0</v>
      </c>
      <c r="E1328" t="s">
        <v>11</v>
      </c>
      <c r="F1328" t="s">
        <v>14</v>
      </c>
      <c r="G1328">
        <v>7050.0213000000003</v>
      </c>
      <c r="H1328" t="str">
        <f t="shared" si="60"/>
        <v>40-49</v>
      </c>
      <c r="I1328" t="str">
        <f t="shared" si="61"/>
        <v>Obese</v>
      </c>
      <c r="J1328" t="str">
        <f t="shared" si="62"/>
        <v>No</v>
      </c>
    </row>
    <row r="1329" spans="1:10" x14ac:dyDescent="0.25">
      <c r="A1329">
        <v>51</v>
      </c>
      <c r="B1329" t="s">
        <v>10</v>
      </c>
      <c r="C1329">
        <v>30.03</v>
      </c>
      <c r="D1329">
        <v>1</v>
      </c>
      <c r="E1329" t="s">
        <v>11</v>
      </c>
      <c r="F1329" t="s">
        <v>12</v>
      </c>
      <c r="G1329">
        <v>9377.9046999999991</v>
      </c>
      <c r="H1329" t="str">
        <f t="shared" si="60"/>
        <v>50-59</v>
      </c>
      <c r="I1329" t="str">
        <f t="shared" si="61"/>
        <v>Obese</v>
      </c>
      <c r="J1329" t="str">
        <f t="shared" si="62"/>
        <v>No</v>
      </c>
    </row>
    <row r="1330" spans="1:10" x14ac:dyDescent="0.25">
      <c r="A1330">
        <v>23</v>
      </c>
      <c r="B1330" t="s">
        <v>7</v>
      </c>
      <c r="C1330">
        <v>24.225000000000001</v>
      </c>
      <c r="D1330">
        <v>2</v>
      </c>
      <c r="E1330" t="s">
        <v>11</v>
      </c>
      <c r="F1330" t="s">
        <v>14</v>
      </c>
      <c r="G1330">
        <v>22395.74424</v>
      </c>
      <c r="H1330" t="str">
        <f t="shared" si="60"/>
        <v>18-29</v>
      </c>
      <c r="I1330" t="str">
        <f t="shared" si="61"/>
        <v>Normal</v>
      </c>
      <c r="J1330" t="str">
        <f t="shared" si="62"/>
        <v>Yes</v>
      </c>
    </row>
    <row r="1331" spans="1:10" x14ac:dyDescent="0.25">
      <c r="A1331">
        <v>52</v>
      </c>
      <c r="B1331" t="s">
        <v>10</v>
      </c>
      <c r="C1331">
        <v>38.6</v>
      </c>
      <c r="D1331">
        <v>2</v>
      </c>
      <c r="E1331" t="s">
        <v>11</v>
      </c>
      <c r="F1331" t="s">
        <v>9</v>
      </c>
      <c r="G1331">
        <v>10325.206</v>
      </c>
      <c r="H1331" t="str">
        <f t="shared" si="60"/>
        <v>50-59</v>
      </c>
      <c r="I1331" t="str">
        <f t="shared" si="61"/>
        <v>Obese</v>
      </c>
      <c r="J1331" t="str">
        <f t="shared" si="62"/>
        <v>No</v>
      </c>
    </row>
    <row r="1332" spans="1:10" x14ac:dyDescent="0.25">
      <c r="A1332">
        <v>57</v>
      </c>
      <c r="B1332" t="s">
        <v>7</v>
      </c>
      <c r="C1332">
        <v>25.74</v>
      </c>
      <c r="D1332">
        <v>2</v>
      </c>
      <c r="E1332" t="s">
        <v>11</v>
      </c>
      <c r="F1332" t="s">
        <v>12</v>
      </c>
      <c r="G1332">
        <v>12629.1656</v>
      </c>
      <c r="H1332" t="str">
        <f t="shared" si="60"/>
        <v>50-59</v>
      </c>
      <c r="I1332" t="str">
        <f t="shared" si="61"/>
        <v>Overweight</v>
      </c>
      <c r="J1332" t="str">
        <f t="shared" si="62"/>
        <v>No</v>
      </c>
    </row>
    <row r="1333" spans="1:10" x14ac:dyDescent="0.25">
      <c r="A1333">
        <v>23</v>
      </c>
      <c r="B1333" t="s">
        <v>7</v>
      </c>
      <c r="C1333">
        <v>33.4</v>
      </c>
      <c r="D1333">
        <v>0</v>
      </c>
      <c r="E1333" t="s">
        <v>11</v>
      </c>
      <c r="F1333" t="s">
        <v>9</v>
      </c>
      <c r="G1333">
        <v>10795.937330000001</v>
      </c>
      <c r="H1333" t="str">
        <f t="shared" si="60"/>
        <v>18-29</v>
      </c>
      <c r="I1333" t="str">
        <f t="shared" si="61"/>
        <v>Obese</v>
      </c>
      <c r="J1333" t="str">
        <f t="shared" si="62"/>
        <v>No</v>
      </c>
    </row>
    <row r="1334" spans="1:10" x14ac:dyDescent="0.25">
      <c r="A1334">
        <v>52</v>
      </c>
      <c r="B1334" t="s">
        <v>7</v>
      </c>
      <c r="C1334">
        <v>44.7</v>
      </c>
      <c r="D1334">
        <v>3</v>
      </c>
      <c r="E1334" t="s">
        <v>11</v>
      </c>
      <c r="F1334" t="s">
        <v>9</v>
      </c>
      <c r="G1334">
        <v>11411.684999999999</v>
      </c>
      <c r="H1334" t="str">
        <f t="shared" si="60"/>
        <v>50-59</v>
      </c>
      <c r="I1334" t="str">
        <f t="shared" si="61"/>
        <v>Obese</v>
      </c>
      <c r="J1334" t="str">
        <f t="shared" si="62"/>
        <v>No</v>
      </c>
    </row>
    <row r="1335" spans="1:10" x14ac:dyDescent="0.25">
      <c r="A1335">
        <v>50</v>
      </c>
      <c r="B1335" t="s">
        <v>10</v>
      </c>
      <c r="C1335">
        <v>30.97</v>
      </c>
      <c r="D1335">
        <v>3</v>
      </c>
      <c r="E1335" t="s">
        <v>11</v>
      </c>
      <c r="F1335" t="s">
        <v>13</v>
      </c>
      <c r="G1335">
        <v>10600.5483</v>
      </c>
      <c r="H1335" t="str">
        <f t="shared" si="60"/>
        <v>50-59</v>
      </c>
      <c r="I1335" t="str">
        <f t="shared" si="61"/>
        <v>Obese</v>
      </c>
      <c r="J1335" t="str">
        <f t="shared" si="62"/>
        <v>No</v>
      </c>
    </row>
    <row r="1336" spans="1:10" x14ac:dyDescent="0.25">
      <c r="A1336">
        <v>18</v>
      </c>
      <c r="B1336" t="s">
        <v>7</v>
      </c>
      <c r="C1336">
        <v>31.92</v>
      </c>
      <c r="D1336">
        <v>0</v>
      </c>
      <c r="E1336" t="s">
        <v>11</v>
      </c>
      <c r="F1336" t="s">
        <v>14</v>
      </c>
      <c r="G1336">
        <v>2205.9807999999998</v>
      </c>
      <c r="H1336" t="str">
        <f t="shared" si="60"/>
        <v>18-29</v>
      </c>
      <c r="I1336" t="str">
        <f t="shared" si="61"/>
        <v>Obese</v>
      </c>
      <c r="J1336" t="str">
        <f t="shared" si="62"/>
        <v>No</v>
      </c>
    </row>
    <row r="1337" spans="1:10" x14ac:dyDescent="0.25">
      <c r="A1337">
        <v>18</v>
      </c>
      <c r="B1337" t="s">
        <v>7</v>
      </c>
      <c r="C1337">
        <v>36.85</v>
      </c>
      <c r="D1337">
        <v>0</v>
      </c>
      <c r="E1337" t="s">
        <v>11</v>
      </c>
      <c r="F1337" t="s">
        <v>12</v>
      </c>
      <c r="G1337">
        <v>1629.8335</v>
      </c>
      <c r="H1337" t="str">
        <f t="shared" si="60"/>
        <v>18-29</v>
      </c>
      <c r="I1337" t="str">
        <f t="shared" si="61"/>
        <v>Obese</v>
      </c>
      <c r="J1337" t="str">
        <f t="shared" si="62"/>
        <v>No</v>
      </c>
    </row>
    <row r="1338" spans="1:10" x14ac:dyDescent="0.25">
      <c r="A1338">
        <v>21</v>
      </c>
      <c r="B1338" t="s">
        <v>7</v>
      </c>
      <c r="C1338">
        <v>25.8</v>
      </c>
      <c r="D1338">
        <v>0</v>
      </c>
      <c r="E1338" t="s">
        <v>11</v>
      </c>
      <c r="F1338" t="s">
        <v>9</v>
      </c>
      <c r="G1338">
        <v>2007.9449999999999</v>
      </c>
      <c r="H1338" t="str">
        <f t="shared" si="60"/>
        <v>18-29</v>
      </c>
      <c r="I1338" t="str">
        <f t="shared" si="61"/>
        <v>Overweight</v>
      </c>
      <c r="J1338" t="str">
        <f t="shared" si="62"/>
        <v>No</v>
      </c>
    </row>
    <row r="1339" spans="1:10" x14ac:dyDescent="0.25">
      <c r="A1339">
        <v>61</v>
      </c>
      <c r="B1339" t="s">
        <v>7</v>
      </c>
      <c r="C1339">
        <v>29.07</v>
      </c>
      <c r="D1339">
        <v>0</v>
      </c>
      <c r="E1339" t="s">
        <v>8</v>
      </c>
      <c r="F1339" t="s">
        <v>13</v>
      </c>
      <c r="G1339">
        <v>29141.3603</v>
      </c>
      <c r="H1339" t="str">
        <f t="shared" si="60"/>
        <v>60+</v>
      </c>
      <c r="I1339" t="str">
        <f t="shared" si="61"/>
        <v>Overweight</v>
      </c>
      <c r="J1339" t="str">
        <f t="shared" si="62"/>
        <v>Yes</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E6A9C-5AA5-4C12-8BA4-D504E37E1FB0}">
  <dimension ref="A1:B5"/>
  <sheetViews>
    <sheetView workbookViewId="0">
      <selection activeCell="B6" sqref="B6"/>
    </sheetView>
  </sheetViews>
  <sheetFormatPr defaultRowHeight="15" x14ac:dyDescent="0.25"/>
  <cols>
    <col min="1" max="1" width="25" bestFit="1" customWidth="1"/>
    <col min="2" max="2" width="17.42578125" bestFit="1" customWidth="1"/>
  </cols>
  <sheetData>
    <row r="1" spans="1:2" x14ac:dyDescent="0.25">
      <c r="A1" t="s">
        <v>43</v>
      </c>
      <c r="B1" t="s">
        <v>33</v>
      </c>
    </row>
    <row r="2" spans="1:2" x14ac:dyDescent="0.25">
      <c r="A2" t="s">
        <v>44</v>
      </c>
      <c r="B2">
        <f>AVERAGEIFS(tblInsurance3[charges],tblInsurance3[BMI Category], "Normal", tblInsurance3[smoker],"no")</f>
        <v>7685.6560140000047</v>
      </c>
    </row>
    <row r="3" spans="1:2" x14ac:dyDescent="0.25">
      <c r="A3" t="s">
        <v>45</v>
      </c>
      <c r="B3">
        <f>AVERAGEIFS(tblInsurance3[charges],tblInsurance3[BMI Category], "Obese", tblInsurance3[smoker],"no")</f>
        <v>8842.6915475266851</v>
      </c>
    </row>
    <row r="4" spans="1:2" x14ac:dyDescent="0.25">
      <c r="A4" t="s">
        <v>46</v>
      </c>
      <c r="B4">
        <f>AVERAGEIFS(tblInsurance3[charges],tblInsurance3[BMI Category], "Normal", tblInsurance3[smoker],"yes")</f>
        <v>19942.2236414</v>
      </c>
    </row>
    <row r="5" spans="1:2" x14ac:dyDescent="0.25">
      <c r="A5" t="s">
        <v>47</v>
      </c>
      <c r="B5">
        <f>AVERAGEIFS(tblInsurance3[charges],tblInsurance3[BMI Category], "Obese", tblInsurance3[smoker],"yes")</f>
        <v>41557.989839862086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906FCF-EDE6-493F-9E11-1179AAC00799}">
  <dimension ref="A1:C29"/>
  <sheetViews>
    <sheetView workbookViewId="0">
      <selection activeCell="F31" sqref="F31"/>
    </sheetView>
  </sheetViews>
  <sheetFormatPr defaultRowHeight="15" x14ac:dyDescent="0.25"/>
  <cols>
    <col min="1" max="1" width="15.140625" bestFit="1" customWidth="1"/>
    <col min="2" max="2" width="18.140625" bestFit="1" customWidth="1"/>
    <col min="3" max="3" width="10.140625" bestFit="1" customWidth="1"/>
    <col min="4" max="4" width="11.28515625" bestFit="1" customWidth="1"/>
  </cols>
  <sheetData>
    <row r="1" spans="1:2" x14ac:dyDescent="0.25">
      <c r="A1" s="1" t="s">
        <v>19</v>
      </c>
      <c r="B1" t="s">
        <v>18</v>
      </c>
    </row>
    <row r="2" spans="1:2" x14ac:dyDescent="0.25">
      <c r="A2" s="2" t="s">
        <v>11</v>
      </c>
      <c r="B2" s="3">
        <v>8434.2682978561988</v>
      </c>
    </row>
    <row r="3" spans="1:2" x14ac:dyDescent="0.25">
      <c r="A3" s="2" t="s">
        <v>8</v>
      </c>
      <c r="B3" s="3">
        <v>32050.231831532848</v>
      </c>
    </row>
    <row r="5" spans="1:2" x14ac:dyDescent="0.25">
      <c r="A5" s="1" t="s">
        <v>15</v>
      </c>
      <c r="B5" t="s">
        <v>18</v>
      </c>
    </row>
    <row r="6" spans="1:2" x14ac:dyDescent="0.25">
      <c r="A6" s="2" t="s">
        <v>20</v>
      </c>
      <c r="B6" s="3">
        <v>9182.4871251534732</v>
      </c>
    </row>
    <row r="7" spans="1:2" x14ac:dyDescent="0.25">
      <c r="A7" s="2" t="s">
        <v>21</v>
      </c>
      <c r="B7" s="3">
        <v>11738.784117354091</v>
      </c>
    </row>
    <row r="8" spans="1:2" x14ac:dyDescent="0.25">
      <c r="A8" s="2" t="s">
        <v>22</v>
      </c>
      <c r="B8" s="3">
        <v>14399.203563870966</v>
      </c>
    </row>
    <row r="9" spans="1:2" x14ac:dyDescent="0.25">
      <c r="A9" s="2" t="s">
        <v>23</v>
      </c>
      <c r="B9" s="3">
        <v>16495.232664981537</v>
      </c>
    </row>
    <row r="10" spans="1:2" x14ac:dyDescent="0.25">
      <c r="A10" s="2" t="s">
        <v>24</v>
      </c>
      <c r="B10" s="3">
        <v>21248.021884912272</v>
      </c>
    </row>
    <row r="12" spans="1:2" x14ac:dyDescent="0.25">
      <c r="A12" s="1" t="s">
        <v>16</v>
      </c>
      <c r="B12" t="s">
        <v>18</v>
      </c>
    </row>
    <row r="13" spans="1:2" x14ac:dyDescent="0.25">
      <c r="A13" s="2" t="s">
        <v>28</v>
      </c>
      <c r="B13" s="3">
        <v>8852.2005850000023</v>
      </c>
    </row>
    <row r="14" spans="1:2" x14ac:dyDescent="0.25">
      <c r="A14" s="2" t="s">
        <v>25</v>
      </c>
      <c r="B14" s="3">
        <v>10409.337708977779</v>
      </c>
    </row>
    <row r="15" spans="1:2" x14ac:dyDescent="0.25">
      <c r="A15" s="2" t="s">
        <v>27</v>
      </c>
      <c r="B15" s="3">
        <v>10987.509891318654</v>
      </c>
    </row>
    <row r="16" spans="1:2" x14ac:dyDescent="0.25">
      <c r="A16" s="2" t="s">
        <v>26</v>
      </c>
      <c r="B16" s="3">
        <v>15552.335468868452</v>
      </c>
    </row>
    <row r="18" spans="1:3" x14ac:dyDescent="0.25">
      <c r="A18" s="1" t="s">
        <v>29</v>
      </c>
      <c r="B18" t="s">
        <v>18</v>
      </c>
    </row>
    <row r="19" spans="1:3" x14ac:dyDescent="0.25">
      <c r="A19" s="2" t="s">
        <v>14</v>
      </c>
      <c r="B19" s="3">
        <v>13406.3845163858</v>
      </c>
    </row>
    <row r="20" spans="1:3" x14ac:dyDescent="0.25">
      <c r="A20" s="2" t="s">
        <v>13</v>
      </c>
      <c r="B20" s="3">
        <v>12417.575373969228</v>
      </c>
    </row>
    <row r="21" spans="1:3" x14ac:dyDescent="0.25">
      <c r="A21" s="2" t="s">
        <v>12</v>
      </c>
      <c r="B21" s="3">
        <v>14735.411437609895</v>
      </c>
    </row>
    <row r="22" spans="1:3" x14ac:dyDescent="0.25">
      <c r="A22" s="2" t="s">
        <v>9</v>
      </c>
      <c r="B22" s="3">
        <v>12346.93737729231</v>
      </c>
    </row>
    <row r="24" spans="1:3" x14ac:dyDescent="0.25">
      <c r="A24" s="1" t="s">
        <v>18</v>
      </c>
      <c r="B24" s="1" t="s">
        <v>19</v>
      </c>
    </row>
    <row r="25" spans="1:3" x14ac:dyDescent="0.25">
      <c r="A25" s="1" t="s">
        <v>29</v>
      </c>
      <c r="B25" t="s">
        <v>11</v>
      </c>
      <c r="C25" t="s">
        <v>8</v>
      </c>
    </row>
    <row r="26" spans="1:3" x14ac:dyDescent="0.25">
      <c r="A26" s="2" t="s">
        <v>14</v>
      </c>
      <c r="B26" s="3">
        <v>9165.5316717081714</v>
      </c>
      <c r="C26" s="3">
        <v>29673.536472835818</v>
      </c>
    </row>
    <row r="27" spans="1:3" x14ac:dyDescent="0.25">
      <c r="A27" s="2" t="s">
        <v>13</v>
      </c>
      <c r="B27" s="3">
        <v>8556.4637152059931</v>
      </c>
      <c r="C27" s="3">
        <v>30192.003182413791</v>
      </c>
    </row>
    <row r="28" spans="1:3" x14ac:dyDescent="0.25">
      <c r="A28" s="2" t="s">
        <v>12</v>
      </c>
      <c r="B28" s="3">
        <v>8032.2163089377273</v>
      </c>
      <c r="C28" s="3">
        <v>34844.996823626367</v>
      </c>
    </row>
    <row r="29" spans="1:3" x14ac:dyDescent="0.25">
      <c r="A29" s="2" t="s">
        <v>9</v>
      </c>
      <c r="B29" s="3">
        <v>8019.2845130711621</v>
      </c>
      <c r="C29" s="3">
        <v>32269.063493620699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73C30-6837-4DCD-8F02-D050F3267C86}">
  <dimension ref="A1:I30"/>
  <sheetViews>
    <sheetView tabSelected="1" workbookViewId="0">
      <selection activeCell="C37" sqref="C37"/>
    </sheetView>
  </sheetViews>
  <sheetFormatPr defaultRowHeight="15" x14ac:dyDescent="0.25"/>
  <cols>
    <col min="1" max="1" width="41.28515625" bestFit="1" customWidth="1"/>
    <col min="2" max="2" width="17.140625" bestFit="1" customWidth="1"/>
    <col min="8" max="8" width="13" customWidth="1"/>
    <col min="9" max="9" width="18.42578125" bestFit="1" customWidth="1"/>
  </cols>
  <sheetData>
    <row r="1" spans="1:4" ht="35.25" thickBot="1" x14ac:dyDescent="0.6">
      <c r="A1" s="4" t="s">
        <v>30</v>
      </c>
      <c r="B1" s="4"/>
      <c r="C1" s="4"/>
      <c r="D1" s="4"/>
    </row>
    <row r="2" spans="1:4" ht="24.75" thickBot="1" x14ac:dyDescent="0.45">
      <c r="A2" s="5" t="s">
        <v>31</v>
      </c>
      <c r="B2" s="6" t="s">
        <v>37</v>
      </c>
    </row>
    <row r="3" spans="1:4" ht="21.75" thickTop="1" x14ac:dyDescent="0.35">
      <c r="A3" s="7" t="s">
        <v>32</v>
      </c>
      <c r="B3" s="8">
        <v>1338</v>
      </c>
    </row>
    <row r="4" spans="1:4" ht="21" x14ac:dyDescent="0.35">
      <c r="A4" s="9" t="s">
        <v>33</v>
      </c>
      <c r="B4" s="11">
        <f>AVERAGE(tblInsurance[charges])</f>
        <v>13270.422265141257</v>
      </c>
    </row>
    <row r="5" spans="1:4" ht="21" x14ac:dyDescent="0.35">
      <c r="A5" s="9" t="s">
        <v>34</v>
      </c>
      <c r="B5" s="11">
        <f>MAX(tblInsurance[charges])</f>
        <v>63770.428010000003</v>
      </c>
    </row>
    <row r="6" spans="1:4" ht="21" x14ac:dyDescent="0.35">
      <c r="A6" s="9" t="s">
        <v>35</v>
      </c>
      <c r="B6" s="11">
        <f>GETPIVOTDATA("charges",Pivot_Tables!$A$1,"smoker","yes")</f>
        <v>32050.231831532848</v>
      </c>
    </row>
    <row r="7" spans="1:4" ht="21.75" thickBot="1" x14ac:dyDescent="0.4">
      <c r="A7" s="10" t="s">
        <v>36</v>
      </c>
      <c r="B7" s="12">
        <f>GETPIVOTDATA("charges",Pivot_Tables!$A$1,"smoker","no")</f>
        <v>8434.2682978561988</v>
      </c>
    </row>
    <row r="26" spans="1:9" ht="24" x14ac:dyDescent="0.4">
      <c r="A26" s="13" t="s">
        <v>38</v>
      </c>
      <c r="B26" s="13"/>
      <c r="C26" s="13"/>
      <c r="D26" s="13"/>
      <c r="H26" t="s">
        <v>29</v>
      </c>
      <c r="I26" t="s">
        <v>48</v>
      </c>
    </row>
    <row r="27" spans="1:9" x14ac:dyDescent="0.25">
      <c r="A27" t="s">
        <v>39</v>
      </c>
      <c r="H27" t="s">
        <v>49</v>
      </c>
      <c r="I27">
        <f>GETPIVOTDATA("charges",Pivot_Tables!$A$18,"region","northeast")</f>
        <v>13406.3845163858</v>
      </c>
    </row>
    <row r="28" spans="1:9" x14ac:dyDescent="0.25">
      <c r="A28" t="s">
        <v>40</v>
      </c>
      <c r="H28" t="s">
        <v>50</v>
      </c>
      <c r="I28">
        <f>GETPIVOTDATA("charges",Pivot_Tables!$A$18,"region","northwest")</f>
        <v>12417.575373969228</v>
      </c>
    </row>
    <row r="29" spans="1:9" x14ac:dyDescent="0.25">
      <c r="A29" t="s">
        <v>41</v>
      </c>
      <c r="H29" t="s">
        <v>51</v>
      </c>
      <c r="I29">
        <f>GETPIVOTDATA("charges",Pivot_Tables!$A$18,"region","southeast")</f>
        <v>14735.411437609895</v>
      </c>
    </row>
    <row r="30" spans="1:9" x14ac:dyDescent="0.25">
      <c r="A30" t="s">
        <v>42</v>
      </c>
      <c r="H30" t="s">
        <v>52</v>
      </c>
      <c r="I30">
        <f>GETPIVOTDATA("charges",Pivot_Tables!$A$18,"region","southwest")</f>
        <v>12346.93737729231</v>
      </c>
    </row>
  </sheetData>
  <mergeCells count="2">
    <mergeCell ref="A1:D1"/>
    <mergeCell ref="A26:D26"/>
  </mergeCells>
  <conditionalFormatting sqref="H27:I30">
    <cfRule type="colorScale" priority="1">
      <colorScale>
        <cfvo type="min"/>
        <cfvo type="percentile" val="50"/>
        <cfvo type="max"/>
        <color rgb="FF63BE7B"/>
        <color rgb="FFFFEB84"/>
        <color rgb="FFF8696B"/>
      </colorScale>
    </cfRule>
  </conditionalFormatting>
  <pageMargins left="0.7" right="0.7" top="0.75" bottom="0.75" header="0.3" footer="0.3"/>
  <drawing r:id="rId1"/>
  <tableParts count="1">
    <tablePart r:id="rId2"/>
  </tableParts>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raw_data</vt:lpstr>
      <vt:lpstr>Calculations</vt:lpstr>
      <vt:lpstr>Segmentation table</vt:lpstr>
      <vt:lpstr>Pivot_Tables</vt:lpstr>
      <vt:lpstr>KPI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Grant Toomey</cp:lastModifiedBy>
  <dcterms:created xsi:type="dcterms:W3CDTF">2026-06-09T16:15:59Z</dcterms:created>
  <dcterms:modified xsi:type="dcterms:W3CDTF">2026-06-09T17:50:38Z</dcterms:modified>
</cp:coreProperties>
</file>